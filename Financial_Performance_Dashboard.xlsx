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coffee-shop-financial-dashboard\"/>
    </mc:Choice>
  </mc:AlternateContent>
  <xr:revisionPtr revIDLastSave="0" documentId="13_ncr:1_{86EC377C-77BB-4878-A7A5-06D6FE0F366D}" xr6:coauthVersionLast="47" xr6:coauthVersionMax="47" xr10:uidLastSave="{00000000-0000-0000-0000-000000000000}"/>
  <bookViews>
    <workbookView xWindow="-108" yWindow="-108" windowWidth="23256" windowHeight="13176" firstSheet="3" activeTab="6" xr2:uid="{CB269A75-D944-45F1-8F71-D1220FFBD488}"/>
  </bookViews>
  <sheets>
    <sheet name="Raw_Main_Bank" sheetId="2" r:id="rId1"/>
    <sheet name="Raw_Secondary_Bank" sheetId="3" r:id="rId2"/>
    <sheet name="Raw_Payroll" sheetId="5" r:id="rId3"/>
    <sheet name="Raw_Credit_Card" sheetId="4" r:id="rId4"/>
    <sheet name="Raw_Payroll_Detail" sheetId="6" r:id="rId5"/>
    <sheet name="Created_Monthly_Summary" sheetId="1" r:id="rId6"/>
    <sheet name="Executive Dashboard" sheetId="15" r:id="rId7"/>
    <sheet name="Exploratory Pivot Table" sheetId="16" r:id="rId8"/>
  </sheets>
  <definedNames>
    <definedName name="ExternalData_1" localSheetId="3" hidden="1">Raw_Credit_Card!$A$1:$G$134</definedName>
    <definedName name="ExternalData_1" localSheetId="0" hidden="1">Raw_Main_Bank!$A$1:$G$878</definedName>
    <definedName name="ExternalData_1" localSheetId="2" hidden="1">Raw_Payroll!$A$1:$G$93</definedName>
    <definedName name="ExternalData_1" localSheetId="4" hidden="1">Raw_Payroll_Detail!$A$1:$O$267</definedName>
    <definedName name="ExternalData_1" localSheetId="1" hidden="1">Raw_Secondary_Bank!$A$1:$G$49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5" l="1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" i="15"/>
  <c r="C26" i="1"/>
  <c r="D26" i="1"/>
  <c r="E26" i="1"/>
  <c r="B26" i="1"/>
  <c r="Z4" i="15"/>
  <c r="Z6" i="15"/>
  <c r="Z5" i="15"/>
  <c r="Y6" i="15"/>
  <c r="Y5" i="15"/>
  <c r="Y4" i="15"/>
  <c r="F5" i="15"/>
  <c r="P5" i="15"/>
  <c r="B2" i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K2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P3" i="6"/>
  <c r="P2" i="6"/>
  <c r="K6" i="2"/>
  <c r="K10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K3" i="2"/>
  <c r="K4" i="2"/>
  <c r="K5" i="2"/>
  <c r="K7" i="2"/>
  <c r="K8" i="2"/>
  <c r="K9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C14" i="1"/>
  <c r="D5" i="1"/>
  <c r="D8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D3" i="1"/>
  <c r="D6" i="1"/>
  <c r="D4" i="1"/>
  <c r="D7" i="1"/>
  <c r="D9" i="1"/>
  <c r="D10" i="1"/>
  <c r="D12" i="1"/>
  <c r="C3" i="1"/>
  <c r="C2" i="1"/>
  <c r="C4" i="1"/>
  <c r="C5" i="1"/>
  <c r="C6" i="1"/>
  <c r="C7" i="1"/>
  <c r="C19" i="1"/>
  <c r="C15" i="1"/>
  <c r="C16" i="1"/>
  <c r="C17" i="1"/>
  <c r="C18" i="1"/>
  <c r="C25" i="1"/>
  <c r="C20" i="1"/>
  <c r="C21" i="1"/>
  <c r="C22" i="1"/>
  <c r="C23" i="1"/>
  <c r="C24" i="1"/>
  <c r="C10" i="1"/>
  <c r="C9" i="1"/>
  <c r="C12" i="1"/>
  <c r="C13" i="1"/>
  <c r="C11" i="1"/>
  <c r="C8" i="1"/>
  <c r="B3" i="1"/>
  <c r="G3" i="1" s="1"/>
  <c r="V3" i="15" s="1"/>
  <c r="B4" i="1"/>
  <c r="G4" i="1" s="1"/>
  <c r="V4" i="15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G2" i="1"/>
  <c r="Y7" i="15" l="1"/>
  <c r="F26" i="1"/>
  <c r="Z7" i="15"/>
  <c r="G5" i="1"/>
  <c r="G9" i="1"/>
  <c r="V9" i="15" s="1"/>
  <c r="G10" i="1"/>
  <c r="V10" i="15" s="1"/>
  <c r="G12" i="1"/>
  <c r="V12" i="15" s="1"/>
  <c r="G19" i="1"/>
  <c r="V19" i="15" s="1"/>
  <c r="G20" i="1"/>
  <c r="V20" i="15" s="1"/>
  <c r="G21" i="1"/>
  <c r="V21" i="15" s="1"/>
  <c r="G22" i="1"/>
  <c r="V22" i="15" s="1"/>
  <c r="G23" i="1"/>
  <c r="V23" i="15" s="1"/>
  <c r="G24" i="1"/>
  <c r="V24" i="15" s="1"/>
  <c r="G25" i="1"/>
  <c r="V25" i="15" s="1"/>
  <c r="V2" i="15"/>
  <c r="G13" i="1"/>
  <c r="V13" i="15" s="1"/>
  <c r="G11" i="1"/>
  <c r="V11" i="15" s="1"/>
  <c r="G16" i="1"/>
  <c r="V16" i="15" s="1"/>
  <c r="G6" i="1"/>
  <c r="V6" i="15" s="1"/>
  <c r="G8" i="1"/>
  <c r="V8" i="15" s="1"/>
  <c r="G17" i="1"/>
  <c r="V17" i="15" s="1"/>
  <c r="G15" i="1"/>
  <c r="V15" i="15" s="1"/>
  <c r="G7" i="1"/>
  <c r="V7" i="15" s="1"/>
  <c r="G14" i="1"/>
  <c r="V14" i="15" s="1"/>
  <c r="G18" i="1"/>
  <c r="V18" i="15" s="1"/>
  <c r="V5" i="15" l="1"/>
  <c r="G26" i="1"/>
  <c r="I5" i="15"/>
  <c r="M5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3A944-D579-42CD-AED3-DC4F78F5695A}" keepAlive="1" name="Query - checking_account_main" description="Connection to the 'checking_account_main' query in the workbook." type="5" refreshedVersion="8" background="1" saveData="1">
    <dbPr connection="Provider=Microsoft.Mashup.OleDb.1;Data Source=$Workbook$;Location=checking_account_main;Extended Properties=&quot;&quot;" command="SELECT * FROM [checking_account_main]"/>
  </connection>
  <connection id="2" xr16:uid="{8194F218-FD3C-4B49-B251-7F96D429B1E8}" keepAlive="1" name="Query - checking_account_secondary" description="Connection to the 'checking_account_secondary' query in the workbook." type="5" refreshedVersion="8" background="1" saveData="1">
    <dbPr connection="Provider=Microsoft.Mashup.OleDb.1;Data Source=$Workbook$;Location=checking_account_secondary;Extended Properties=&quot;&quot;" command="SELECT * FROM [checking_account_secondary]"/>
  </connection>
  <connection id="3" xr16:uid="{5982B0B1-6144-403C-954B-ADDCC661F22E}" keepAlive="1" name="Query - credit_card_account" description="Connection to the 'credit_card_account' query in the workbook." type="5" refreshedVersion="8" background="1" saveData="1">
    <dbPr connection="Provider=Microsoft.Mashup.OleDb.1;Data Source=$Workbook$;Location=credit_card_account;Extended Properties=&quot;&quot;" command="SELECT * FROM [credit_card_account]"/>
  </connection>
  <connection id="4" xr16:uid="{CEEF1566-A28F-4A8F-BCF3-EEFACD02E13D}" keepAlive="1" name="Query - gusto_payroll" description="Connection to the 'gusto_payroll' query in the workbook." type="5" refreshedVersion="8" background="1" saveData="1">
    <dbPr connection="Provider=Microsoft.Mashup.OleDb.1;Data Source=$Workbook$;Location=gusto_payroll;Extended Properties=&quot;&quot;" command="SELECT * FROM [gusto_payroll]"/>
  </connection>
  <connection id="5" xr16:uid="{9D9441B4-B186-4008-87FA-49F402E252B3}" keepAlive="1" name="Query - gusto_payroll_bc" description="Connection to the 'gusto_payroll_bc' query in the workbook." type="5" refreshedVersion="8" background="1" saveData="1">
    <dbPr connection="Provider=Microsoft.Mashup.OleDb.1;Data Source=$Workbook$;Location=gusto_payroll_bc;Extended Properties=&quot;&quot;" command="SELECT * FROM [gusto_payroll_bc]"/>
  </connection>
</connections>
</file>

<file path=xl/sharedStrings.xml><?xml version="1.0" encoding="utf-8"?>
<sst xmlns="http://schemas.openxmlformats.org/spreadsheetml/2006/main" count="5302" uniqueCount="1163">
  <si>
    <t>date</t>
  </si>
  <si>
    <t>transaction_id</t>
  </si>
  <si>
    <t>description</t>
  </si>
  <si>
    <t>category</t>
  </si>
  <si>
    <t>type</t>
  </si>
  <si>
    <t>amount</t>
  </si>
  <si>
    <t>balance</t>
  </si>
  <si>
    <t>TX00001</t>
  </si>
  <si>
    <t>Daily Sales Deposit</t>
  </si>
  <si>
    <t>Sales Revenue</t>
  </si>
  <si>
    <t>Credit</t>
  </si>
  <si>
    <t>TX00002</t>
  </si>
  <si>
    <t>TX00003</t>
  </si>
  <si>
    <t>TX00004</t>
  </si>
  <si>
    <t>TX00005</t>
  </si>
  <si>
    <t>Utility Bill Payment</t>
  </si>
  <si>
    <t>Operating Expense</t>
  </si>
  <si>
    <t>Debit</t>
  </si>
  <si>
    <t>TX00006</t>
  </si>
  <si>
    <t>TX00007</t>
  </si>
  <si>
    <t>TX00008</t>
  </si>
  <si>
    <t>TX00009</t>
  </si>
  <si>
    <t>Rent Payment</t>
  </si>
  <si>
    <t>TX00010</t>
  </si>
  <si>
    <t>TX00011</t>
  </si>
  <si>
    <t>TX00012</t>
  </si>
  <si>
    <t>TX00013</t>
  </si>
  <si>
    <t>TX00014</t>
  </si>
  <si>
    <t>Bakery Payment</t>
  </si>
  <si>
    <t>COGS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</si>
  <si>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</si>
  <si>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</si>
  <si>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</si>
  <si>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</si>
  <si>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</si>
  <si>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</si>
  <si>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</si>
  <si>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</si>
  <si>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</si>
  <si>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</si>
  <si>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</si>
  <si>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</si>
  <si>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</si>
  <si>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</si>
  <si>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</si>
  <si>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TX00030</t>
  </si>
  <si>
    <t>TX00031</t>
  </si>
  <si>
    <t>Coffee Supplier Payment</t>
  </si>
  <si>
    <t>TX00032</t>
  </si>
  <si>
    <t>TX00033</t>
  </si>
  <si>
    <t>TX00034</t>
  </si>
  <si>
    <t>TX00035</t>
  </si>
  <si>
    <t>TX00036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</si>
  <si>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</si>
  <si>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</si>
  <si>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</si>
  <si>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</si>
  <si>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</si>
  <si>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</si>
  <si>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</si>
  <si>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</si>
  <si>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</si>
  <si>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</si>
  <si>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</si>
  <si>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</si>
  <si>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</si>
  <si>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</si>
  <si>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</si>
  <si>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</si>
  <si>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</si>
  <si>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</si>
  <si>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</si>
  <si>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</si>
  <si>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</si>
  <si>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Maintenance Payment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</si>
  <si>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</si>
  <si>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</si>
  <si>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</si>
  <si>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</si>
  <si>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</si>
  <si>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</si>
  <si>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</si>
  <si>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</si>
  <si>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</si>
  <si>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</si>
  <si>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</si>
  <si>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</si>
  <si>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</si>
  <si>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</si>
  <si>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</si>
  <si>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</si>
  <si>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TX00074</t>
  </si>
  <si>
    <t>TX00075</t>
  </si>
  <si>
    <t>TX00076</t>
  </si>
  <si>
    <t>TX00077</t>
  </si>
  <si>
    <t>TX00078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</si>
  <si>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</si>
  <si>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</si>
  <si>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</si>
  <si>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</si>
  <si>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</si>
  <si>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</si>
  <si>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</si>
  <si>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</si>
  <si>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</si>
  <si>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</si>
  <si>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</si>
  <si>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</si>
  <si>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</si>
  <si>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</si>
  <si>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</si>
  <si>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</si>
  <si>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</si>
  <si>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</si>
  <si>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</si>
  <si>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</si>
  <si>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</si>
  <si>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</si>
  <si>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</si>
  <si>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</si>
  <si>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</si>
  <si>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</si>
  <si>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</si>
  <si>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</si>
  <si>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</si>
  <si>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</si>
  <si>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</si>
  <si>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</si>
  <si>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</si>
  <si>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</si>
  <si>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</si>
  <si>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</si>
  <si>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</si>
  <si>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</si>
  <si>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</si>
  <si>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</si>
  <si>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</si>
  <si>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</si>
  <si>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</si>
  <si>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</si>
  <si>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</si>
  <si>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</si>
  <si>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</si>
  <si>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</si>
  <si>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</si>
  <si>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</si>
  <si>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</si>
  <si>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</si>
  <si>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</si>
  <si>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</si>
  <si>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</si>
  <si>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</si>
  <si>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</si>
  <si>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</si>
  <si>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</si>
  <si>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</si>
  <si>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</si>
  <si>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</si>
  <si>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</si>
  <si>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</si>
  <si>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</si>
  <si>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</si>
  <si>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</si>
  <si>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</si>
  <si>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</si>
  <si>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</si>
  <si>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</si>
  <si>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</si>
  <si>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</si>
  <si>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</si>
  <si>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</si>
  <si>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</si>
  <si>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</si>
  <si>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</si>
  <si>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</si>
  <si>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</si>
  <si>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</si>
  <si>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</si>
  <si>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</si>
  <si>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</si>
  <si>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</si>
  <si>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</si>
  <si>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</si>
  <si>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</si>
  <si>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</si>
  <si>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</si>
  <si>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</si>
  <si>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</si>
  <si>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</si>
  <si>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</si>
  <si>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</si>
  <si>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</si>
  <si>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</si>
  <si>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</si>
  <si>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</si>
  <si>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</si>
  <si>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</si>
  <si>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</si>
  <si>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</si>
  <si>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</si>
  <si>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</si>
  <si>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</si>
  <si>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</si>
  <si>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</si>
  <si>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</si>
  <si>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</si>
  <si>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</si>
  <si>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</si>
  <si>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</si>
  <si>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</si>
  <si>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</si>
  <si>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</si>
  <si>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</si>
  <si>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</si>
  <si>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</si>
  <si>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</si>
  <si>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</si>
  <si>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</si>
  <si>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</si>
  <si>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</si>
  <si>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</si>
  <si>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</si>
  <si>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</si>
  <si>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</si>
  <si>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</si>
  <si>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</si>
  <si>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</si>
  <si>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</si>
  <si>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</si>
  <si>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</si>
  <si>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</si>
  <si>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</si>
  <si>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</si>
  <si>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</si>
  <si>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</si>
  <si>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</si>
  <si>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</si>
  <si>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</si>
  <si>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</si>
  <si>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</si>
  <si>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</si>
  <si>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</si>
  <si>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</si>
  <si>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</si>
  <si>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</si>
  <si>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</si>
  <si>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</si>
  <si>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</si>
  <si>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</si>
  <si>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</si>
  <si>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</si>
  <si>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</si>
  <si>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</si>
  <si>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</si>
  <si>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</si>
  <si>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</si>
  <si>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</si>
  <si>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</si>
  <si>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</si>
  <si>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</si>
  <si>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</si>
  <si>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</si>
  <si>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</si>
  <si>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</si>
  <si>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</si>
  <si>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</si>
  <si>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</si>
  <si>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</si>
  <si>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</si>
  <si>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</si>
  <si>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</si>
  <si>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</si>
  <si>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</si>
  <si>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</si>
  <si>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</si>
  <si>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</si>
  <si>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</si>
  <si>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</si>
  <si>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</si>
  <si>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</si>
  <si>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</si>
  <si>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</si>
  <si>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</si>
  <si>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</si>
  <si>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</si>
  <si>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</si>
  <si>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</si>
  <si>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</si>
  <si>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</si>
  <si>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</si>
  <si>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</si>
  <si>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</si>
  <si>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</si>
  <si>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</si>
  <si>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</si>
  <si>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</si>
  <si>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</si>
  <si>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</si>
  <si>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</si>
  <si>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</si>
  <si>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</si>
  <si>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</si>
  <si>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</si>
  <si>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</si>
  <si>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</si>
  <si>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</si>
  <si>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</si>
  <si>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</si>
  <si>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</si>
  <si>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</si>
  <si>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</si>
  <si>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</si>
  <si>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</si>
  <si>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</si>
  <si>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</si>
  <si>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</si>
  <si>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</si>
  <si>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</si>
  <si>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</si>
  <si>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</si>
  <si>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</si>
  <si>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</si>
  <si>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</si>
  <si>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</si>
  <si>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</si>
  <si>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</si>
  <si>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</si>
  <si>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</si>
  <si>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</si>
  <si>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</si>
  <si>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</si>
  <si>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</si>
  <si>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</si>
  <si>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</si>
  <si>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</si>
  <si>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</si>
  <si>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</si>
  <si>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</si>
  <si>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</si>
  <si>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</si>
  <si>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</si>
  <si>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</si>
  <si>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</si>
  <si>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</si>
  <si>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</si>
  <si>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</si>
  <si>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</si>
  <si>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</si>
  <si>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</si>
  <si>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</si>
  <si>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</si>
  <si>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</si>
  <si>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</si>
  <si>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</si>
  <si>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</si>
  <si>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</si>
  <si>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</si>
  <si>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</si>
  <si>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</si>
  <si>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</si>
  <si>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</si>
  <si>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</si>
  <si>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</si>
  <si>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</si>
  <si>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</si>
  <si>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</si>
  <si>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</si>
  <si>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</si>
  <si>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</si>
  <si>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</si>
  <si>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</si>
  <si>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</si>
  <si>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</si>
  <si>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</si>
  <si>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</si>
  <si>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</si>
  <si>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</si>
  <si>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</si>
  <si>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</si>
  <si>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</si>
  <si>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</si>
  <si>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</si>
  <si>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</si>
  <si>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</si>
  <si>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</si>
  <si>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</si>
  <si>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</si>
  <si>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</si>
  <si>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</si>
  <si>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</si>
  <si>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</si>
  <si>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</si>
  <si>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</si>
  <si>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</si>
  <si>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</si>
  <si>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</si>
  <si>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</si>
  <si>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</si>
  <si>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</si>
  <si>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</si>
  <si>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</si>
  <si>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</si>
  <si>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</si>
  <si>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</si>
  <si>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</si>
  <si>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</si>
  <si>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</si>
  <si>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</si>
  <si>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</si>
  <si>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</si>
  <si>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</si>
  <si>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</si>
  <si>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</si>
  <si>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</si>
  <si>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</si>
  <si>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</si>
  <si>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</si>
  <si>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</si>
  <si>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</si>
  <si>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</si>
  <si>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</si>
  <si>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</si>
  <si>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</si>
  <si>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</si>
  <si>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</si>
  <si>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</si>
  <si>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</si>
  <si>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</si>
  <si>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</si>
  <si>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</si>
  <si>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</si>
  <si>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</si>
  <si>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</si>
  <si>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</si>
  <si>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</si>
  <si>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</si>
  <si>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</si>
  <si>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</si>
  <si>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</si>
  <si>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</si>
  <si>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</si>
  <si>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</si>
  <si>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</si>
  <si>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</si>
  <si>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</si>
  <si>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</si>
  <si>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</si>
  <si>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</si>
  <si>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</si>
  <si>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</si>
  <si>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</si>
  <si>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</si>
  <si>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</si>
  <si>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</si>
  <si>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</si>
  <si>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</si>
  <si>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</si>
  <si>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</si>
  <si>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</si>
  <si>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</si>
  <si>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</si>
  <si>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</si>
  <si>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</si>
  <si>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</si>
  <si>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</si>
  <si>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</si>
  <si>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</si>
  <si>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</si>
  <si>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</si>
  <si>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</si>
  <si>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</si>
  <si>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</si>
  <si>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</si>
  <si>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</si>
  <si>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</si>
  <si>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</si>
  <si>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</si>
  <si>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</si>
  <si>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</si>
  <si>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</si>
  <si>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</si>
  <si>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</si>
  <si>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</si>
  <si>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</si>
  <si>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</si>
  <si>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</si>
  <si>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</si>
  <si>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</si>
  <si>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</si>
  <si>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</si>
  <si>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</si>
  <si>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</si>
  <si>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</si>
  <si>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</si>
  <si>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</si>
  <si>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</si>
  <si>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</si>
  <si>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</si>
  <si>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</si>
  <si>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</si>
  <si>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</si>
  <si>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</si>
  <si>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</si>
  <si>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</si>
  <si>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</si>
  <si>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</si>
  <si>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</si>
  <si>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</si>
  <si>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</si>
  <si>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</si>
  <si>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</si>
  <si>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</si>
  <si>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</si>
  <si>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</si>
  <si>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</si>
  <si>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</si>
  <si>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</si>
  <si>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</si>
  <si>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</si>
  <si>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</si>
  <si>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</si>
  <si>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</si>
  <si>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</si>
  <si>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</si>
  <si>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</si>
  <si>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</si>
  <si>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</si>
  <si>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</si>
  <si>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</si>
  <si>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</si>
  <si>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</si>
  <si>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</si>
  <si>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</si>
  <si>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</si>
  <si>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</si>
  <si>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</si>
  <si>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</si>
  <si>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</si>
  <si>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</si>
  <si>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</si>
  <si>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</si>
  <si>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</si>
  <si>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</si>
  <si>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</si>
  <si>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</si>
  <si>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</si>
  <si>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</si>
  <si>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</si>
  <si>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</si>
  <si>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</si>
  <si>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</si>
  <si>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</si>
  <si>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</si>
  <si>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</si>
  <si>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</si>
  <si>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</si>
  <si>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</si>
  <si>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</si>
  <si>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</si>
  <si>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</si>
  <si>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</si>
  <si>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</si>
  <si>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</si>
  <si>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</si>
  <si>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</si>
  <si>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</si>
  <si>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</si>
  <si>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</si>
  <si>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</si>
  <si>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</si>
  <si>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</si>
  <si>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</si>
  <si>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</si>
  <si>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</si>
  <si>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</si>
  <si>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</si>
  <si>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</si>
  <si>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</si>
  <si>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</si>
  <si>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</si>
  <si>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</si>
  <si>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</si>
  <si>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</si>
  <si>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</si>
  <si>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</si>
  <si>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</si>
  <si>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</si>
  <si>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</si>
  <si>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</si>
  <si>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</si>
  <si>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</si>
  <si>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</si>
  <si>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</si>
  <si>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</si>
  <si>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</si>
  <si>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</si>
  <si>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</si>
  <si>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</si>
  <si>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</si>
  <si>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</si>
  <si>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</si>
  <si>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</si>
  <si>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</si>
  <si>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</si>
  <si>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</si>
  <si>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</si>
  <si>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</si>
  <si>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</si>
  <si>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</si>
  <si>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</si>
  <si>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</si>
  <si>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</si>
  <si>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</si>
  <si>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</si>
  <si>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</si>
  <si>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</si>
  <si>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</si>
  <si>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</si>
  <si>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</si>
  <si>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</si>
  <si>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</si>
  <si>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</si>
  <si>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</si>
  <si>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</si>
  <si>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</si>
  <si>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</si>
  <si>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</si>
  <si>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</si>
  <si>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</si>
  <si>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</si>
  <si>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</si>
  <si>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</si>
  <si>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</si>
  <si>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</si>
  <si>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</si>
  <si>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</si>
  <si>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</si>
  <si>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</si>
  <si>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</si>
  <si>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</si>
  <si>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</si>
  <si>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</si>
  <si>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</si>
  <si>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</si>
  <si>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</si>
  <si>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</si>
  <si>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</si>
  <si>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</si>
  <si>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</si>
  <si>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</si>
  <si>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</si>
  <si>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</si>
  <si>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</si>
  <si>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</si>
  <si>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</si>
  <si>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</si>
  <si>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</si>
  <si>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</si>
  <si>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</si>
  <si>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</si>
  <si>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</si>
  <si>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</si>
  <si>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</si>
  <si>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</si>
  <si>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</si>
  <si>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</si>
  <si>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</si>
  <si>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</si>
  <si>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</si>
  <si>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</si>
  <si>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</si>
  <si>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</si>
  <si>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</si>
  <si>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</si>
  <si>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</si>
  <si>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</si>
  <si>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</si>
  <si>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</si>
  <si>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</si>
  <si>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</si>
  <si>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</si>
  <si>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</si>
  <si>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</si>
  <si>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</si>
  <si>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</si>
  <si>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</si>
  <si>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</si>
  <si>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</si>
  <si>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</si>
  <si>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</si>
  <si>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</si>
  <si>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</si>
  <si>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</si>
  <si>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</si>
  <si>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</si>
  <si>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</si>
  <si>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</si>
  <si>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</si>
  <si>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</si>
  <si>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</si>
  <si>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</si>
  <si>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</si>
  <si>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</si>
  <si>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</si>
  <si>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</si>
  <si>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</si>
  <si>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</si>
  <si>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</si>
  <si>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</si>
  <si>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</si>
  <si>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</si>
  <si>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</si>
  <si>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</si>
  <si>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</si>
  <si>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</si>
  <si>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</si>
  <si>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</si>
  <si>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</si>
  <si>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</si>
  <si>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</si>
  <si>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</si>
  <si>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</si>
  <si>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</si>
  <si>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</si>
  <si>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</si>
  <si>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</si>
  <si>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</si>
  <si>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</si>
  <si>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</si>
  <si>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</si>
  <si>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</si>
  <si>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</si>
  <si>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</si>
  <si>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</si>
  <si>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</si>
  <si>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</si>
  <si>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</si>
  <si>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</si>
  <si>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</si>
  <si>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</si>
  <si>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</si>
  <si>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</si>
  <si>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</si>
  <si>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</si>
  <si>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</si>
  <si>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</si>
  <si>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</si>
  <si>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</si>
  <si>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</si>
  <si>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</si>
  <si>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</si>
  <si>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</si>
  <si>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</si>
  <si>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</si>
  <si>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</si>
  <si>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</si>
  <si>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</si>
  <si>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</si>
  <si>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</si>
  <si>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</si>
  <si>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</si>
  <si>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</si>
  <si>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</si>
  <si>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</si>
  <si>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</si>
  <si>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</si>
  <si>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</si>
  <si>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</si>
  <si>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</si>
  <si>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</si>
  <si>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</si>
  <si>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</si>
  <si>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</si>
  <si>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</si>
  <si>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</si>
  <si>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</si>
  <si>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</si>
  <si>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</si>
  <si>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</si>
  <si>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</si>
  <si>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</si>
  <si>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</si>
  <si>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</si>
  <si>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</si>
  <si>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</si>
  <si>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</si>
  <si>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</si>
  <si>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</si>
  <si>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</si>
  <si>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</si>
  <si>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</si>
  <si>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</si>
  <si>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</si>
  <si>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</si>
  <si>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</si>
  <si>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</si>
  <si>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</si>
  <si>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</si>
  <si>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</si>
  <si>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</si>
  <si>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</si>
  <si>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</si>
  <si>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</si>
  <si>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</si>
  <si>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</si>
  <si>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</si>
  <si>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</si>
  <si>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</si>
  <si>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</si>
  <si>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</si>
  <si>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</si>
  <si>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</si>
  <si>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</si>
  <si>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</si>
  <si>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</si>
  <si>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</si>
  <si>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</si>
  <si>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</si>
  <si>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</si>
  <si>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</si>
  <si>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</si>
  <si>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</si>
  <si>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</si>
  <si>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</si>
  <si>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</si>
  <si>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</si>
  <si>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</si>
  <si>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</si>
  <si>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</si>
  <si>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</si>
  <si>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</si>
  <si>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</si>
  <si>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</si>
  <si>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</si>
  <si>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</si>
  <si>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</si>
  <si>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</si>
  <si>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</si>
  <si>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</si>
  <si>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</si>
  <si>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</si>
  <si>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</si>
  <si>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</si>
  <si>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</si>
  <si>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</si>
  <si>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</si>
  <si>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</si>
  <si>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</si>
  <si>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</si>
  <si>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</si>
  <si>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</si>
  <si>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</si>
  <si>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</si>
  <si>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</si>
  <si>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</si>
  <si>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</si>
  <si>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</si>
  <si>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</si>
  <si>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</si>
  <si>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</si>
  <si>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</si>
  <si>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</si>
  <si>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</si>
  <si>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</si>
  <si>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</si>
  <si>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</si>
  <si>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</si>
  <si>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</si>
  <si>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</si>
  <si>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</si>
  <si>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</si>
  <si>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</si>
  <si>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</si>
  <si>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</si>
  <si>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</si>
  <si>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</si>
  <si>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</si>
  <si>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</si>
  <si>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</si>
  <si>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</si>
  <si>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</si>
  <si>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</si>
  <si>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</si>
  <si>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</si>
  <si>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</si>
  <si>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</si>
  <si>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</si>
  <si>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</si>
  <si>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</si>
  <si>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</si>
  <si>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</si>
  <si>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</si>
  <si>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</si>
  <si>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</si>
  <si>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</si>
  <si>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SC00001</t>
  </si>
  <si>
    <t>Transfer from Main</t>
  </si>
  <si>
    <t>Transfer</t>
  </si>
  <si>
    <t>SC00002</t>
  </si>
  <si>
    <t>Payroll Funding</t>
  </si>
  <si>
    <t>Payroll</t>
  </si>
  <si>
    <t>SC00003</t>
  </si>
  <si>
    <t>SC00004</t>
  </si>
  <si>
    <t>SC00005</t>
  </si>
  <si>
    <t>SC00006</t>
  </si>
  <si>
    <t>SC00007</t>
  </si>
  <si>
    <t>SC00008</t>
  </si>
  <si>
    <t>SC00009</t>
  </si>
  <si>
    <t>SC00010</t>
  </si>
  <si>
    <t>SC00011</t>
  </si>
  <si>
    <t>SC00012</t>
  </si>
  <si>
    <t>SC00013</t>
  </si>
  <si>
    <t>SC00014</t>
  </si>
  <si>
    <t>SC00015</t>
  </si>
  <si>
    <t>SC00016</t>
  </si>
  <si>
    <t>SC00017</t>
  </si>
  <si>
    <t>SC00018</t>
  </si>
  <si>
    <t>SC00019</t>
  </si>
  <si>
    <t>SC00020</t>
  </si>
  <si>
    <t>SC00021</t>
  </si>
  <si>
    <t>SC00022</t>
  </si>
  <si>
    <t>SC00023</t>
  </si>
  <si>
    <t>SC00024</t>
  </si>
  <si>
    <t>SC00025</t>
  </si>
  <si>
    <t>SC00026</t>
  </si>
  <si>
    <t>SC00027</t>
  </si>
  <si>
    <t>SC00028</t>
  </si>
  <si>
    <t>SC00029</t>
  </si>
  <si>
    <t>SC00030</t>
  </si>
  <si>
    <t>SC00031</t>
  </si>
  <si>
    <t>SC00032</t>
  </si>
  <si>
    <t>SC00033</t>
  </si>
  <si>
    <t>SC00034</t>
  </si>
  <si>
    <t>SC00035</t>
  </si>
  <si>
    <t>SC00036</t>
  </si>
  <si>
    <t>SC00037</t>
  </si>
  <si>
    <t>SC00038</t>
  </si>
  <si>
    <t>SC00039</t>
  </si>
  <si>
    <t>SC00040</t>
  </si>
  <si>
    <t>SC00041</t>
  </si>
  <si>
    <t>SC00042</t>
  </si>
  <si>
    <t>SC00043</t>
  </si>
  <si>
    <t>SC00044</t>
  </si>
  <si>
    <t>SC00045</t>
  </si>
  <si>
    <t>SC00046</t>
  </si>
  <si>
    <t>SC00047</t>
  </si>
  <si>
    <t>SC00048</t>
  </si>
  <si>
    <t>vendor</t>
  </si>
  <si>
    <t>CC00001</t>
  </si>
  <si>
    <t>Utility Company</t>
  </si>
  <si>
    <t>Supplies</t>
  </si>
  <si>
    <t>CC00002</t>
  </si>
  <si>
    <t>Facebook Ads</t>
  </si>
  <si>
    <t>Other</t>
  </si>
  <si>
    <t>CC00003</t>
  </si>
  <si>
    <t>Payment to CC</t>
  </si>
  <si>
    <t>Payment</t>
  </si>
  <si>
    <t>CC00004</t>
  </si>
  <si>
    <t>Marketing</t>
  </si>
  <si>
    <t>CC00005</t>
  </si>
  <si>
    <t>Local Print Shop</t>
  </si>
  <si>
    <t>CC00006</t>
  </si>
  <si>
    <t>CC00007</t>
  </si>
  <si>
    <t>Coffee Supplier</t>
  </si>
  <si>
    <t>Utilities</t>
  </si>
  <si>
    <t>CC00008</t>
  </si>
  <si>
    <t>CC00009</t>
  </si>
  <si>
    <t>CC00010</t>
  </si>
  <si>
    <t>CC00011</t>
  </si>
  <si>
    <t>CC00012</t>
  </si>
  <si>
    <t>CC00013</t>
  </si>
  <si>
    <t>CC00014</t>
  </si>
  <si>
    <t>CC00015</t>
  </si>
  <si>
    <t>CC00016</t>
  </si>
  <si>
    <t>CC00017</t>
  </si>
  <si>
    <t>CC00018</t>
  </si>
  <si>
    <t>CC00019</t>
  </si>
  <si>
    <t>CC00020</t>
  </si>
  <si>
    <t>CC00021</t>
  </si>
  <si>
    <t>CC00022</t>
  </si>
  <si>
    <t>CC00023</t>
  </si>
  <si>
    <t>CC00024</t>
  </si>
  <si>
    <t>CC00025</t>
  </si>
  <si>
    <t>CC00026</t>
  </si>
  <si>
    <t>CC00027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</si>
  <si>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</si>
  <si>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</si>
  <si>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</si>
  <si>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</si>
  <si>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</si>
  <si>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</si>
  <si>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</si>
  <si>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</si>
  <si>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</si>
  <si>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</si>
  <si>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CC00038</t>
  </si>
  <si>
    <t>CC00039</t>
  </si>
  <si>
    <t>CC00040</t>
  </si>
  <si>
    <t>CC00041</t>
  </si>
  <si>
    <t>CC00042</t>
  </si>
  <si>
    <t>CC00043</t>
  </si>
  <si>
    <t>CC00044</t>
  </si>
  <si>
    <t>CC00045</t>
  </si>
  <si>
    <t>CC00046</t>
  </si>
  <si>
    <t>CC00047</t>
  </si>
  <si>
    <t>CC00048</t>
  </si>
  <si>
    <t>CC00049</t>
  </si>
  <si>
    <t>CC00050</t>
  </si>
  <si>
    <t>CC00051</t>
  </si>
  <si>
    <t>CC00052</t>
  </si>
  <si>
    <t>CC00053</t>
  </si>
  <si>
    <t>CC00054</t>
  </si>
  <si>
    <t>CC00055</t>
  </si>
  <si>
    <t>CC00056</t>
  </si>
  <si>
    <t>CC00057</t>
  </si>
  <si>
    <t>CC00058</t>
  </si>
  <si>
    <t>CC00059</t>
  </si>
  <si>
    <t>CC00060</t>
  </si>
  <si>
    <t>CC00061</t>
  </si>
  <si>
    <t>CC00062</t>
  </si>
  <si>
    <t>CC00063</t>
  </si>
  <si>
    <t>CC00064</t>
  </si>
  <si>
    <t>CC00065</t>
  </si>
  <si>
    <t>CC00066</t>
  </si>
  <si>
    <t>CC00067</t>
  </si>
  <si>
    <t>CC00068</t>
  </si>
  <si>
    <t>CC00069</t>
  </si>
  <si>
    <t>CC00070</t>
  </si>
  <si>
    <t>CC00071</t>
  </si>
  <si>
    <t>CC00072</t>
  </si>
  <si>
    <t>CC00073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</si>
  <si>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</si>
  <si>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</si>
  <si>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</si>
  <si>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</si>
  <si>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</si>
  <si>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</si>
  <si>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</si>
  <si>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</si>
  <si>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</si>
  <si>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</si>
  <si>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</si>
  <si>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</si>
  <si>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</si>
  <si>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</si>
  <si>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</si>
  <si>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</si>
  <si>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</si>
  <si>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</si>
  <si>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</si>
  <si>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</si>
  <si>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</si>
  <si>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</si>
  <si>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</si>
  <si>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</si>
  <si>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</si>
  <si>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</si>
  <si>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</si>
  <si>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</si>
  <si>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</si>
  <si>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</si>
  <si>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</si>
  <si>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</si>
  <si>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</si>
  <si>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</si>
  <si>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</si>
  <si>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</si>
  <si>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</si>
  <si>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</si>
  <si>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</si>
  <si>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</si>
  <si>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</si>
  <si>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</si>
  <si>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CC00116</t>
  </si>
  <si>
    <t>CC00117</t>
  </si>
  <si>
    <t>CC00118</t>
  </si>
  <si>
    <t>CC00119</t>
  </si>
  <si>
    <t>CC00120</t>
  </si>
  <si>
    <t>CC00121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</si>
  <si>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</si>
  <si>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</si>
  <si>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</si>
  <si>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</si>
  <si>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</si>
  <si>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</si>
  <si>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</si>
  <si>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</si>
  <si>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</si>
  <si>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</si>
  <si>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</si>
  <si>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CC00133</t>
  </si>
  <si>
    <t>pay_date</t>
  </si>
  <si>
    <t>employee_id</t>
  </si>
  <si>
    <t>employee_name</t>
  </si>
  <si>
    <t>role</t>
  </si>
  <si>
    <t>account</t>
  </si>
  <si>
    <t>E001</t>
  </si>
  <si>
    <t>Alice Smith</t>
  </si>
  <si>
    <t>Barista</t>
  </si>
  <si>
    <t>Employee Pay</t>
  </si>
  <si>
    <t>Checking Secondary</t>
  </si>
  <si>
    <t>E002</t>
  </si>
  <si>
    <t>Ben Lee</t>
  </si>
  <si>
    <t>E003</t>
  </si>
  <si>
    <t>Carla Gomez</t>
  </si>
  <si>
    <t>Manager</t>
  </si>
  <si>
    <t>C001</t>
  </si>
  <si>
    <t>David Jones</t>
  </si>
  <si>
    <t>Marketing Contractor</t>
  </si>
  <si>
    <t>Contractor Pay</t>
  </si>
  <si>
    <t>Employee_Name</t>
  </si>
  <si>
    <t>Role</t>
  </si>
  <si>
    <t>Pay_Date</t>
  </si>
  <si>
    <t>Gross_Pay</t>
  </si>
  <si>
    <t>Federal_Tax</t>
  </si>
  <si>
    <t>Provincial_Tax</t>
  </si>
  <si>
    <t>CPP</t>
  </si>
  <si>
    <t>EI</t>
  </si>
  <si>
    <t>Other_Deductions</t>
  </si>
  <si>
    <t>Net_Pay</t>
  </si>
  <si>
    <t>Employer_CPP</t>
  </si>
  <si>
    <t>Employer_EI</t>
  </si>
  <si>
    <t>Tips</t>
  </si>
  <si>
    <t>Travel_Reimbursement</t>
  </si>
  <si>
    <t>Alice Johnson</t>
  </si>
  <si>
    <t>Owner</t>
  </si>
  <si>
    <t>Brian Smith</t>
  </si>
  <si>
    <t>Chloe Davis</t>
  </si>
  <si>
    <t>Daniel Lee</t>
  </si>
  <si>
    <t>Eva Thompson</t>
  </si>
  <si>
    <t>Independent Contractor</t>
  </si>
  <si>
    <t>Frank White</t>
  </si>
  <si>
    <t>Seasonal Barista</t>
  </si>
  <si>
    <t>Column1</t>
  </si>
  <si>
    <t>Year</t>
  </si>
  <si>
    <t>Month</t>
  </si>
  <si>
    <t>Quarter</t>
  </si>
  <si>
    <t>Date</t>
  </si>
  <si>
    <t>Transaction_id</t>
  </si>
  <si>
    <t>Description</t>
  </si>
  <si>
    <t>Category</t>
  </si>
  <si>
    <t>Type</t>
  </si>
  <si>
    <t>Amount</t>
  </si>
  <si>
    <t>Balance</t>
  </si>
  <si>
    <t>Row Labels</t>
  </si>
  <si>
    <t>Grand Total</t>
  </si>
  <si>
    <t>Credit Card Expense</t>
  </si>
  <si>
    <t>Net Profit</t>
  </si>
  <si>
    <t>Month_Year</t>
  </si>
  <si>
    <t>2022</t>
  </si>
  <si>
    <t>2023</t>
  </si>
  <si>
    <t>Total_Employer_Cost</t>
  </si>
  <si>
    <t>Ending_Cash</t>
  </si>
  <si>
    <t>Total Revenue</t>
  </si>
  <si>
    <t>Total Net Profit</t>
  </si>
  <si>
    <t>Net Profit Margin</t>
  </si>
  <si>
    <t>Average Monthly Revenue</t>
  </si>
  <si>
    <t>Bean &amp; Brew Coffee Co.</t>
  </si>
  <si>
    <t>Executive Financial Dashboard</t>
  </si>
  <si>
    <t>Sum of Sales Revenue</t>
  </si>
  <si>
    <t>Expense Category</t>
  </si>
  <si>
    <t>Operating Expenses</t>
  </si>
  <si>
    <t>Credit Card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</si>
</sst>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mmm/yyyy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166" fontId="0" fillId="0" borderId="0" xfId="0" applyNumberFormat="1" applyAlignment="1">
      <alignment horizontal="left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3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5" fontId="2" fillId="4" borderId="4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10" fontId="2" fillId="4" borderId="0" xfId="0" applyNumberFormat="1" applyFont="1" applyFill="1" applyBorder="1" applyAlignment="1">
      <alignment horizontal="center" vertical="center"/>
    </xf>
    <xf numFmtId="10" fontId="2" fillId="4" borderId="3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165" fontId="2" fillId="4" borderId="7" xfId="0" applyNumberFormat="1" applyFont="1" applyFill="1" applyBorder="1" applyAlignment="1">
      <alignment horizontal="center" vertical="center"/>
    </xf>
    <xf numFmtId="10" fontId="2" fillId="4" borderId="6" xfId="0" applyNumberFormat="1" applyFont="1" applyFill="1" applyBorder="1" applyAlignment="1">
      <alignment horizontal="center" vertical="center"/>
    </xf>
    <xf numFmtId="10" fontId="2" fillId="4" borderId="5" xfId="0" applyNumberFormat="1" applyFont="1" applyFill="1" applyBorder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/>
  </cellXfs>
  <cellStyles count="1">
    <cellStyle name="Normal" xfId="0" builtinId="0"/>
  </cellStyles>
  <dxfs count="53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6" formatCode="mmm/yyyy"/>
    </dxf>
    <dxf>
      <numFmt numFmtId="166" formatCode="mmm/yyyy"/>
    </dxf>
    <dxf>
      <numFmt numFmtId="0" formatCode="General"/>
    </dxf>
    <dxf>
      <numFmt numFmtId="166" formatCode="mmm/yyyy"/>
    </dxf>
    <dxf>
      <numFmt numFmtId="19" formatCode="yyyy/mm/dd"/>
    </dxf>
    <dxf>
      <numFmt numFmtId="0" formatCode="General"/>
    </dxf>
    <dxf>
      <numFmt numFmtId="0" formatCode="General"/>
    </dxf>
    <dxf>
      <numFmt numFmtId="166" formatCode="m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4" formatCode="&quot;$&quot;#,##0.00"/>
    </dxf>
    <dxf>
      <numFmt numFmtId="166" formatCode="mmm/yyyy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[Financial_Performance_Dashboard.xlsx]Exploratory Pivot Table!PivotTable8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Revenue Trend</a:t>
            </a:r>
          </a:p>
        </c:rich>
      </c:tx>
      <c:layout>
        <c:manualLayout>
          <c:xMode val="edge"/>
          <c:yMode val="edge"/>
          <c:x val="6.1689244896261167E-3"/>
          <c:y val="2.098593884914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'Exploratory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'Exploratory Pivot Table'!$A$4:$A$28</c:f>
              <c:strCache>
                <c:ptCount val="24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</c:strCache>
            </c:strRef>
          </c:cat>
          <c:val>
            <c:numRef>
              <c:f>'Exploratory Pivot Table'!$B$4:$B$28</c:f>
              <c:numCache>
                <c:formatCode>"$"#,##0.00</c:formatCode>
                <c:ptCount val="24"/>
                <c:pt idx="0">
                  <c:v>29463</c:v>
                </c:pt>
                <c:pt idx="1">
                  <c:v>26196</c:v>
                </c:pt>
                <c:pt idx="2">
                  <c:v>18894</c:v>
                </c:pt>
                <c:pt idx="3">
                  <c:v>18012</c:v>
                </c:pt>
                <c:pt idx="4">
                  <c:v>18550</c:v>
                </c:pt>
                <c:pt idx="5">
                  <c:v>17820</c:v>
                </c:pt>
                <c:pt idx="6">
                  <c:v>23232</c:v>
                </c:pt>
                <c:pt idx="7">
                  <c:v>22841</c:v>
                </c:pt>
                <c:pt idx="8">
                  <c:v>29391</c:v>
                </c:pt>
                <c:pt idx="9">
                  <c:v>30424</c:v>
                </c:pt>
                <c:pt idx="10">
                  <c:v>28391</c:v>
                </c:pt>
                <c:pt idx="11">
                  <c:v>28351</c:v>
                </c:pt>
                <c:pt idx="12">
                  <c:v>30248</c:v>
                </c:pt>
                <c:pt idx="13">
                  <c:v>25404</c:v>
                </c:pt>
                <c:pt idx="14">
                  <c:v>19541</c:v>
                </c:pt>
                <c:pt idx="15">
                  <c:v>18920</c:v>
                </c:pt>
                <c:pt idx="16">
                  <c:v>18462</c:v>
                </c:pt>
                <c:pt idx="17">
                  <c:v>17932</c:v>
                </c:pt>
                <c:pt idx="18">
                  <c:v>23166</c:v>
                </c:pt>
                <c:pt idx="19">
                  <c:v>23650</c:v>
                </c:pt>
                <c:pt idx="20">
                  <c:v>26576</c:v>
                </c:pt>
                <c:pt idx="21">
                  <c:v>29226</c:v>
                </c:pt>
                <c:pt idx="22">
                  <c:v>29072</c:v>
                </c:pt>
                <c:pt idx="23">
                  <c:v>29045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F-4C09-B842-744A58AD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101072"/>
        <c:axId val="740100112"/>
      </c:lineChart>
      <c:catAx>
        <c:axId val="74010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829395379972316"/>
              <c:y val="0.9193716798472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00112"/>
        <c:crosses val="autoZero"/>
        <c:auto val="1"/>
        <c:lblAlgn val="ctr"/>
        <c:lblOffset val="100"/>
        <c:tickLblSkip val="2"/>
        <c:noMultiLvlLbl val="0"/>
      </c:catAx>
      <c:valAx>
        <c:axId val="7401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>
                    <a:solidFill>
                      <a:schemeClr val="tx1"/>
                    </a:solidFill>
                  </a:rPr>
                  <a:t>Sales</a:t>
                </a:r>
                <a:r>
                  <a:rPr lang="en-CA" b="1" baseline="0">
                    <a:solidFill>
                      <a:schemeClr val="tx1"/>
                    </a:solidFill>
                  </a:rPr>
                  <a:t> Revenue ($)</a:t>
                </a:r>
              </a:p>
            </c:rich>
          </c:tx>
          <c:layout>
            <c:manualLayout>
              <c:xMode val="edge"/>
              <c:yMode val="edge"/>
              <c:x val="8.4053794428434192E-3"/>
              <c:y val="0.38155696224246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solidFill>
                  <a:schemeClr val="tx1"/>
                </a:solidFill>
              </a:rPr>
              <a:t>Expense Comparison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997170080777253"/>
          <c:y val="0.18099343185550082"/>
          <c:w val="0.62289584069712245"/>
          <c:h val="0.6175356142842946"/>
        </c:manualLayout>
      </c:layout>
      <c:barChart>
        <c:barDir val="bar"/>
        <c:grouping val="clustered"/>
        <c:varyColors val="0"/>
        <c:ser>
          <c:idx val="1"/>
          <c:order val="0"/>
          <c:tx>
            <c:v>2023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1">
                  <a:alpha val="97000"/>
                </a:schemeClr>
              </a:solidFill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Dashboard'!$X$4:$X$7</c:f>
              <c:strCache>
                <c:ptCount val="4"/>
                <c:pt idx="0">
                  <c:v>COGS</c:v>
                </c:pt>
                <c:pt idx="1">
                  <c:v>Operating Expenses</c:v>
                </c:pt>
                <c:pt idx="2">
                  <c:v>Payroll</c:v>
                </c:pt>
                <c:pt idx="3">
                  <c:v>Credit Card Expenses</c:v>
                </c:pt>
              </c:strCache>
            </c:strRef>
          </c:cat>
          <c:val>
            <c:numRef>
              <c:f>'Executive Dashboard'!$Z$4:$Z$7</c:f>
              <c:numCache>
                <c:formatCode>"$"#,##0.00</c:formatCode>
                <c:ptCount val="4"/>
                <c:pt idx="0">
                  <c:v>7777</c:v>
                </c:pt>
                <c:pt idx="1">
                  <c:v>12380</c:v>
                </c:pt>
                <c:pt idx="2">
                  <c:v>206337.44</c:v>
                </c:pt>
                <c:pt idx="3">
                  <c:v>19114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5-4F2B-9391-39EE31EB4777}"/>
            </c:ext>
          </c:extLst>
        </c:ser>
        <c:ser>
          <c:idx val="0"/>
          <c:order val="1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C7-4B4D-B240-80C56406A490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Dashboard'!$X$4:$X$7</c:f>
              <c:strCache>
                <c:ptCount val="4"/>
                <c:pt idx="0">
                  <c:v>COGS</c:v>
                </c:pt>
                <c:pt idx="1">
                  <c:v>Operating Expenses</c:v>
                </c:pt>
                <c:pt idx="2">
                  <c:v>Payroll</c:v>
                </c:pt>
                <c:pt idx="3">
                  <c:v>Credit Card Expenses</c:v>
                </c:pt>
              </c:strCache>
            </c:strRef>
          </c:cat>
          <c:val>
            <c:numRef>
              <c:f>'Executive Dashboard'!$Y$4:$Y$7</c:f>
              <c:numCache>
                <c:formatCode>"$"#,##0.00</c:formatCode>
                <c:ptCount val="4"/>
                <c:pt idx="0">
                  <c:v>9214</c:v>
                </c:pt>
                <c:pt idx="1">
                  <c:v>13828</c:v>
                </c:pt>
                <c:pt idx="2">
                  <c:v>213629.67</c:v>
                </c:pt>
                <c:pt idx="3">
                  <c:v>17683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5-4F2B-9391-39EE31EB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0313551"/>
        <c:axId val="220310191"/>
      </c:barChart>
      <c:catAx>
        <c:axId val="22031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0191"/>
        <c:crosses val="autoZero"/>
        <c:auto val="1"/>
        <c:lblAlgn val="ctr"/>
        <c:lblOffset val="100"/>
        <c:noMultiLvlLbl val="0"/>
      </c:catAx>
      <c:valAx>
        <c:axId val="22031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="1"/>
                  <a:t>Total Expense</a:t>
                </a:r>
              </a:p>
            </c:rich>
          </c:tx>
          <c:layout>
            <c:manualLayout>
              <c:xMode val="edge"/>
              <c:yMode val="edge"/>
              <c:x val="0.48098376948280203"/>
              <c:y val="0.89399862043970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652596276658152"/>
          <c:y val="8.5689984742998437E-2"/>
          <c:w val="0.20744468191859924"/>
          <c:h val="0.10981213555202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Profit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'Executive Dashboard'!$V$1</c:f>
              <c:strCache>
                <c:ptCount val="1"/>
                <c:pt idx="0">
                  <c:v>Net Profit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'Executive Dashboard'!$U$2:$U$25</c:f>
              <c:numCache>
                <c:formatCode>mmm/yyyy</c:formatCode>
                <c:ptCount val="24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</c:numCache>
            </c:numRef>
          </c:xVal>
          <c:yVal>
            <c:numRef>
              <c:f>'Executive Dashboard'!$V$2:$V$25</c:f>
              <c:numCache>
                <c:formatCode>"$"#,##0.00</c:formatCode>
                <c:ptCount val="24"/>
                <c:pt idx="0">
                  <c:v>7985.6900000000023</c:v>
                </c:pt>
                <c:pt idx="1">
                  <c:v>7649.41</c:v>
                </c:pt>
                <c:pt idx="2">
                  <c:v>230.70000000000073</c:v>
                </c:pt>
                <c:pt idx="3">
                  <c:v>-8499.4900000000016</c:v>
                </c:pt>
                <c:pt idx="4">
                  <c:v>-21.790000000000873</c:v>
                </c:pt>
                <c:pt idx="5">
                  <c:v>-4911.3799999999974</c:v>
                </c:pt>
                <c:pt idx="6">
                  <c:v>1396.4599999999991</c:v>
                </c:pt>
                <c:pt idx="7">
                  <c:v>489.67000000000189</c:v>
                </c:pt>
                <c:pt idx="8">
                  <c:v>2812.2700000000041</c:v>
                </c:pt>
                <c:pt idx="9">
                  <c:v>11938.36</c:v>
                </c:pt>
                <c:pt idx="10">
                  <c:v>8768.1400000000031</c:v>
                </c:pt>
                <c:pt idx="11">
                  <c:v>9372.2900000000009</c:v>
                </c:pt>
                <c:pt idx="12">
                  <c:v>10391.029999999999</c:v>
                </c:pt>
                <c:pt idx="13">
                  <c:v>7377.1999999999971</c:v>
                </c:pt>
                <c:pt idx="14">
                  <c:v>-7290.2699999999968</c:v>
                </c:pt>
                <c:pt idx="15">
                  <c:v>652.38000000000102</c:v>
                </c:pt>
                <c:pt idx="16">
                  <c:v>107.48999999999796</c:v>
                </c:pt>
                <c:pt idx="17">
                  <c:v>-1076.3100000000013</c:v>
                </c:pt>
                <c:pt idx="18">
                  <c:v>3280.8100000000013</c:v>
                </c:pt>
                <c:pt idx="19">
                  <c:v>5369.4199999999983</c:v>
                </c:pt>
                <c:pt idx="20">
                  <c:v>-779.86000000000422</c:v>
                </c:pt>
                <c:pt idx="21">
                  <c:v>9733.6500000000015</c:v>
                </c:pt>
                <c:pt idx="22">
                  <c:v>9310.380000000001</c:v>
                </c:pt>
                <c:pt idx="23">
                  <c:v>8557.64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7-431F-B48A-EBB09BFC4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270640"/>
        <c:axId val="222758399"/>
      </c:scatterChart>
      <c:valAx>
        <c:axId val="795270640"/>
        <c:scaling>
          <c:orientation val="minMax"/>
        </c:scaling>
        <c:delete val="0"/>
        <c:axPos val="b"/>
        <c:numFmt formatCode="mmm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58399"/>
        <c:crosses val="autoZero"/>
        <c:crossBetween val="midCat"/>
      </c:valAx>
      <c:valAx>
        <c:axId val="2227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Net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27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[Financial_Performance_Dashboard.xlsx]Exploratory 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Revenue Trend</a:t>
            </a: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>
                <a:solidFill>
                  <a:schemeClr val="tx1"/>
                </a:solidFill>
              </a:rPr>
              <a:t>Sales</a:t>
            </a:r>
            <a:r>
              <a:rPr lang="en-US" baseline="0">
                <a:solidFill>
                  <a:schemeClr val="tx1"/>
                </a:solidFill>
              </a:rPr>
              <a:t> Revenue Over Time</a:t>
            </a:r>
          </a:p>
        </c:rich>
      </c:tx>
      <c:layout>
        <c:manualLayout>
          <c:xMode val="edge"/>
          <c:yMode val="edge"/>
          <c:x val="6.1689244896261167E-3"/>
          <c:y val="2.0985938849147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'Exploratory 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'Exploratory Pivot Table'!$A$4:$A$28</c:f>
              <c:strCache>
                <c:ptCount val="24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</c:strCache>
            </c:strRef>
          </c:cat>
          <c:val>
            <c:numRef>
              <c:f>'Exploratory Pivot Table'!$B$4:$B$28</c:f>
              <c:numCache>
                <c:formatCode>"$"#,##0.00</c:formatCode>
                <c:ptCount val="24"/>
                <c:pt idx="0">
                  <c:v>29463</c:v>
                </c:pt>
                <c:pt idx="1">
                  <c:v>26196</c:v>
                </c:pt>
                <c:pt idx="2">
                  <c:v>18894</c:v>
                </c:pt>
                <c:pt idx="3">
                  <c:v>18012</c:v>
                </c:pt>
                <c:pt idx="4">
                  <c:v>18550</c:v>
                </c:pt>
                <c:pt idx="5">
                  <c:v>17820</c:v>
                </c:pt>
                <c:pt idx="6">
                  <c:v>23232</c:v>
                </c:pt>
                <c:pt idx="7">
                  <c:v>22841</c:v>
                </c:pt>
                <c:pt idx="8">
                  <c:v>29391</c:v>
                </c:pt>
                <c:pt idx="9">
                  <c:v>30424</c:v>
                </c:pt>
                <c:pt idx="10">
                  <c:v>28391</c:v>
                </c:pt>
                <c:pt idx="11">
                  <c:v>28351</c:v>
                </c:pt>
                <c:pt idx="12">
                  <c:v>30248</c:v>
                </c:pt>
                <c:pt idx="13">
                  <c:v>25404</c:v>
                </c:pt>
                <c:pt idx="14">
                  <c:v>19541</c:v>
                </c:pt>
                <c:pt idx="15">
                  <c:v>18920</c:v>
                </c:pt>
                <c:pt idx="16">
                  <c:v>18462</c:v>
                </c:pt>
                <c:pt idx="17">
                  <c:v>17932</c:v>
                </c:pt>
                <c:pt idx="18">
                  <c:v>23166</c:v>
                </c:pt>
                <c:pt idx="19">
                  <c:v>23650</c:v>
                </c:pt>
                <c:pt idx="20">
                  <c:v>26576</c:v>
                </c:pt>
                <c:pt idx="21">
                  <c:v>29226</c:v>
                </c:pt>
                <c:pt idx="22">
                  <c:v>29072</c:v>
                </c:pt>
                <c:pt idx="23">
                  <c:v>29045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7-460B-8CF5-20AFC08E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101072"/>
        <c:axId val="740100112"/>
      </c:lineChart>
      <c:catAx>
        <c:axId val="74010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829395379972316"/>
              <c:y val="0.91937167984720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00112"/>
        <c:crosses val="autoZero"/>
        <c:auto val="1"/>
        <c:lblAlgn val="ctr"/>
        <c:lblOffset val="100"/>
        <c:tickLblSkip val="2"/>
        <c:noMultiLvlLbl val="0"/>
      </c:catAx>
      <c:valAx>
        <c:axId val="7401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Sales</a:t>
                </a:r>
                <a:r>
                  <a:rPr lang="en-CA" baseline="0">
                    <a:solidFill>
                      <a:schemeClr val="tx1"/>
                    </a:solidFill>
                  </a:rPr>
                  <a:t> Revenue ($)</a:t>
                </a:r>
              </a:p>
            </c:rich>
          </c:tx>
          <c:layout>
            <c:manualLayout>
              <c:xMode val="edge"/>
              <c:yMode val="edge"/>
              <c:x val="8.4053794428434192E-3"/>
              <c:y val="0.38155696224246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10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6</xdr:row>
      <xdr:rowOff>188257</xdr:rowOff>
    </xdr:from>
    <xdr:to>
      <xdr:col>13</xdr:col>
      <xdr:colOff>439271</xdr:colOff>
      <xdr:row>26</xdr:row>
      <xdr:rowOff>8963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FD6BE-0CFB-47DF-85B8-DE86E8F92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6</xdr:row>
      <xdr:rowOff>186913</xdr:rowOff>
    </xdr:from>
    <xdr:to>
      <xdr:col>18</xdr:col>
      <xdr:colOff>26895</xdr:colOff>
      <xdr:row>26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5F434C-121F-72B7-4F5F-237E86589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605117</xdr:colOff>
      <xdr:row>27</xdr:row>
      <xdr:rowOff>4482</xdr:rowOff>
    </xdr:from>
    <xdr:to>
      <xdr:col>17</xdr:col>
      <xdr:colOff>1201270</xdr:colOff>
      <xdr:row>43</xdr:row>
      <xdr:rowOff>26894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B1A77E-AB63-6BF6-B3F9-2A673D3BA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76200</xdr:rowOff>
    </xdr:from>
    <xdr:to>
      <xdr:col>20</xdr:col>
      <xdr:colOff>571500</xdr:colOff>
      <xdr:row>21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E49DD4-2749-8FCD-0D7F-1263EB70B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28.681734837963" createdVersion="8" refreshedVersion="8" minRefreshableVersion="3" recordCount="24" xr:uid="{B5A98292-C52D-4220-AC2C-A6828F8F2AD0}">
  <cacheSource type="worksheet">
    <worksheetSource name="Table6"/>
  </cacheSource>
  <cacheFields count="10">
    <cacheField name="Month" numFmtId="166">
      <sharedItems containsSemiMixedTypes="0" containsNonDate="0" containsDate="1" containsString="0" minDate="2022-01-01T00:00:00" maxDate="2023-12-02T00:00:00" count="24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  <fieldGroup par="9"/>
    </cacheField>
    <cacheField name="Sales Revenue" numFmtId="164">
      <sharedItems containsSemiMixedTypes="0" containsString="0" containsNumber="1" containsInteger="1" minValue="17820" maxValue="30424"/>
    </cacheField>
    <cacheField name="Operating Expense" numFmtId="164">
      <sharedItems containsSemiMixedTypes="0" containsString="0" containsNumber="1" containsInteger="1" minValue="263" maxValue="2406"/>
    </cacheField>
    <cacheField name="COGS" numFmtId="164">
      <sharedItems containsSemiMixedTypes="0" containsString="0" containsNumber="1" containsInteger="1" minValue="0" maxValue="1577"/>
    </cacheField>
    <cacheField name="Payroll" numFmtId="164">
      <sharedItems containsSemiMixedTypes="0" containsString="0" containsNumber="1" minValue="15548.800000000001" maxValue="23873.269999999997"/>
    </cacheField>
    <cacheField name="Credit Card Expense" numFmtId="164">
      <sharedItems containsSemiMixedTypes="0" containsString="0" containsNumber="1" containsInteger="1" minValue="1088" maxValue="2086"/>
    </cacheField>
    <cacheField name="Net Profit" numFmtId="164">
      <sharedItems containsSemiMixedTypes="0" containsString="0" containsNumber="1" minValue="-8499.4900000000016" maxValue="11938.36"/>
    </cacheField>
    <cacheField name="Months (Month)" numFmtId="0" databaseField="0">
      <fieldGroup base="0">
        <rangePr groupBy="months" startDate="2022-01-01T00:00:00" endDate="2023-12-02T00:00:00"/>
        <groupItems count="14">
          <s v="&lt;2022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-12-02"/>
        </groupItems>
      </fieldGroup>
    </cacheField>
    <cacheField name="Quarters (Month)" numFmtId="0" databaseField="0">
      <fieldGroup base="0">
        <rangePr groupBy="quarters" startDate="2022-01-01T00:00:00" endDate="2023-12-02T00:00:00"/>
        <groupItems count="6">
          <s v="&lt;2022-01-01"/>
          <s v="Qtr1"/>
          <s v="Qtr2"/>
          <s v="Qtr3"/>
          <s v="Qtr4"/>
          <s v="&gt;2023-12-02"/>
        </groupItems>
      </fieldGroup>
    </cacheField>
    <cacheField name="Years (Month)" numFmtId="0" databaseField="0">
      <fieldGroup base="0">
        <rangePr groupBy="years" startDate="2022-01-01T00:00:00" endDate="2023-12-02T00:00:00"/>
        <groupItems count="4">
          <s v="&lt;2022-01-01"/>
          <s v="2022"/>
          <s v="2023"/>
          <s v="&gt;2023-12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9463"/>
    <n v="1959"/>
    <n v="1526"/>
    <n v="15926.31"/>
    <n v="2066"/>
    <n v="7985.6900000000023"/>
  </r>
  <r>
    <x v="1"/>
    <n v="26196"/>
    <n v="878"/>
    <n v="756"/>
    <n v="15758.59"/>
    <n v="1154"/>
    <n v="7649.41"/>
  </r>
  <r>
    <x v="2"/>
    <n v="18894"/>
    <n v="1312"/>
    <n v="323"/>
    <n v="15940.3"/>
    <n v="1088"/>
    <n v="230.70000000000073"/>
  </r>
  <r>
    <x v="3"/>
    <n v="18012"/>
    <n v="442"/>
    <n v="842"/>
    <n v="23844.49"/>
    <n v="1383"/>
    <n v="-8499.4900000000016"/>
  </r>
  <r>
    <x v="4"/>
    <n v="18550"/>
    <n v="499"/>
    <n v="638"/>
    <n v="15784.79"/>
    <n v="1650"/>
    <n v="-21.790000000000873"/>
  </r>
  <r>
    <x v="5"/>
    <n v="17820"/>
    <n v="2006"/>
    <n v="817"/>
    <n v="18421.379999999997"/>
    <n v="1487"/>
    <n v="-4911.3799999999974"/>
  </r>
  <r>
    <x v="6"/>
    <n v="23232"/>
    <n v="1061"/>
    <n v="718"/>
    <n v="18429.54"/>
    <n v="1627"/>
    <n v="1396.4599999999991"/>
  </r>
  <r>
    <x v="7"/>
    <n v="22841"/>
    <n v="958"/>
    <n v="1577"/>
    <n v="18487.329999999998"/>
    <n v="1329"/>
    <n v="489.67000000000189"/>
  </r>
  <r>
    <x v="8"/>
    <n v="29391"/>
    <n v="850"/>
    <n v="409"/>
    <n v="23633.729999999996"/>
    <n v="1686"/>
    <n v="2812.2700000000041"/>
  </r>
  <r>
    <x v="9"/>
    <n v="30424"/>
    <n v="1016"/>
    <n v="218"/>
    <n v="15634.64"/>
    <n v="1617"/>
    <n v="11938.36"/>
  </r>
  <r>
    <x v="10"/>
    <n v="28391"/>
    <n v="1351"/>
    <n v="1018"/>
    <n v="15870.859999999997"/>
    <n v="1383"/>
    <n v="8768.1400000000031"/>
  </r>
  <r>
    <x v="11"/>
    <n v="28351"/>
    <n v="1496"/>
    <n v="372"/>
    <n v="15897.710000000001"/>
    <n v="1213"/>
    <n v="9372.2900000000009"/>
  </r>
  <r>
    <x v="12"/>
    <n v="30248"/>
    <n v="2406"/>
    <n v="119"/>
    <n v="16019.97"/>
    <n v="1312"/>
    <n v="10391.029999999999"/>
  </r>
  <r>
    <x v="13"/>
    <n v="25404"/>
    <n v="757"/>
    <n v="185"/>
    <n v="15548.800000000001"/>
    <n v="1536"/>
    <n v="7377.1999999999971"/>
  </r>
  <r>
    <x v="14"/>
    <n v="19541"/>
    <n v="1510"/>
    <n v="0"/>
    <n v="23873.269999999997"/>
    <n v="1448"/>
    <n v="-7290.2699999999968"/>
  </r>
  <r>
    <x v="15"/>
    <n v="18920"/>
    <n v="526"/>
    <n v="938"/>
    <n v="15574.619999999999"/>
    <n v="1229"/>
    <n v="652.38000000000102"/>
  </r>
  <r>
    <x v="16"/>
    <n v="18462"/>
    <n v="263"/>
    <n v="581"/>
    <n v="15777.510000000002"/>
    <n v="1733"/>
    <n v="107.48999999999796"/>
  </r>
  <r>
    <x v="17"/>
    <n v="17932"/>
    <n v="575"/>
    <n v="1315"/>
    <n v="15957.310000000001"/>
    <n v="1161"/>
    <n v="-1076.3100000000013"/>
  </r>
  <r>
    <x v="18"/>
    <n v="23166"/>
    <n v="801"/>
    <n v="890"/>
    <n v="16292.189999999999"/>
    <n v="1902"/>
    <n v="3280.8100000000013"/>
  </r>
  <r>
    <x v="19"/>
    <n v="23650"/>
    <n v="292"/>
    <n v="981"/>
    <n v="15653.580000000002"/>
    <n v="1354"/>
    <n v="5369.4199999999983"/>
  </r>
  <r>
    <x v="20"/>
    <n v="26576"/>
    <n v="1838"/>
    <n v="0"/>
    <n v="23533.860000000004"/>
    <n v="1984"/>
    <n v="-779.86000000000422"/>
  </r>
  <r>
    <x v="21"/>
    <n v="29226"/>
    <n v="918"/>
    <n v="667"/>
    <n v="16175.35"/>
    <n v="1732"/>
    <n v="9733.6500000000015"/>
  </r>
  <r>
    <x v="22"/>
    <n v="29072"/>
    <n v="1243"/>
    <n v="969"/>
    <n v="15912.619999999999"/>
    <n v="1637"/>
    <n v="9310.380000000001"/>
  </r>
  <r>
    <x v="23"/>
    <n v="29045"/>
    <n v="1251"/>
    <n v="1132"/>
    <n v="16018.359999999999"/>
    <n v="2086"/>
    <n v="8557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3861-C4FD-4312-A725-33B451FCC91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8" firstHeaderRow="1" firstDataRow="1" firstDataCol="1"/>
  <pivotFields count="10">
    <pivotField axis="axisRow" numFmtId="166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 Revenue" fld="1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5F7097-6202-4DF4-A740-6B7218235390}" autoFormatId="16" applyNumberFormats="0" applyBorderFormats="0" applyFontFormats="0" applyPatternFormats="0" applyAlignmentFormats="0" applyWidthHeightFormats="0">
  <queryTableRefresh nextId="14" unboundColumnsRight="5">
    <queryTableFields count="12">
      <queryTableField id="1" name="date" tableColumnId="1"/>
      <queryTableField id="2" name="transaction_id" tableColumnId="2"/>
      <queryTableField id="3" name="description" tableColumnId="3"/>
      <queryTableField id="4" name="category" tableColumnId="4"/>
      <queryTableField id="5" name="type" tableColumnId="5"/>
      <queryTableField id="6" name="amount" tableColumnId="6"/>
      <queryTableField id="7" name="balance" tableColumnId="7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020D59-1AF1-46E3-A5AA-C455D6D6F955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date" tableColumnId="1"/>
      <queryTableField id="2" name="transaction_id" tableColumnId="2"/>
      <queryTableField id="3" name="description" tableColumnId="3"/>
      <queryTableField id="4" name="category" tableColumnId="4"/>
      <queryTableField id="5" name="type" tableColumnId="5"/>
      <queryTableField id="6" name="amount" tableColumnId="6"/>
      <queryTableField id="7" name="balance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51A655-2F8C-4BE5-A823-C752408FBF13}" autoFormatId="16" applyNumberFormats="0" applyBorderFormats="0" applyFontFormats="0" applyPatternFormats="0" applyAlignmentFormats="0" applyWidthHeightFormats="0">
  <queryTableRefresh nextId="8">
    <queryTableFields count="7">
      <queryTableField id="1" name="pay_date" tableColumnId="1"/>
      <queryTableField id="2" name="employee_id" tableColumnId="2"/>
      <queryTableField id="3" name="employee_name" tableColumnId="3"/>
      <queryTableField id="4" name="role" tableColumnId="4"/>
      <queryTableField id="5" name="type" tableColumnId="5"/>
      <queryTableField id="6" name="amount" tableColumnId="6"/>
      <queryTableField id="7" name="accoun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2B15A5B-31E3-4BC8-8FA2-B3BB306D8865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date" tableColumnId="1"/>
      <queryTableField id="2" name="transaction_id" tableColumnId="2"/>
      <queryTableField id="3" name="vendor" tableColumnId="3"/>
      <queryTableField id="4" name="category" tableColumnId="4"/>
      <queryTableField id="5" name="type" tableColumnId="5"/>
      <queryTableField id="6" name="amount" tableColumnId="6"/>
      <queryTableField id="7" name="balance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F109849-CFE6-4D69-A200-E28C76E324E0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Employee_ID" tableColumnId="1"/>
      <queryTableField id="2" name="Employee_Name" tableColumnId="2"/>
      <queryTableField id="3" name="Role" tableColumnId="3"/>
      <queryTableField id="4" name="Pay_Date" tableColumnId="4"/>
      <queryTableField id="5" name="Gross_Pay" tableColumnId="5"/>
      <queryTableField id="6" name="Federal_Tax" tableColumnId="6"/>
      <queryTableField id="7" name="Provincial_Tax" tableColumnId="7"/>
      <queryTableField id="8" name="CPP" tableColumnId="8"/>
      <queryTableField id="9" name="EI" tableColumnId="9"/>
      <queryTableField id="10" name="Other_Deductions" tableColumnId="10"/>
      <queryTableField id="11" name="Net_Pay" tableColumnId="11"/>
      <queryTableField id="12" name="Employer_CPP" tableColumnId="12"/>
      <queryTableField id="13" name="Employer_EI" tableColumnId="13"/>
      <queryTableField id="14" name="Tips" tableColumnId="14"/>
      <queryTableField id="15" name="Travel_Reimbursement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3266F-E50F-4C59-8A1A-8C0ABD1BBB34}" name="checking_account_main" displayName="checking_account_main" ref="A1:L878" tableType="queryTable" totalsRowShown="0">
  <autoFilter ref="A1:L878" xr:uid="{E053266F-E50F-4C59-8A1A-8C0ABD1BBB34}"/>
  <tableColumns count="12">
    <tableColumn id="1" xr3:uid="{723F49F6-1380-4F61-9CD1-4AE09416ADB5}" uniqueName="1" name="Date" queryTableFieldId="1" dataDxfId="48"/>
    <tableColumn id="2" xr3:uid="{398AE0DA-8DC1-48DB-B425-A78B816C1FEE}" uniqueName="2" name="Transaction_id" queryTableFieldId="2" dataDxfId="47"/>
    <tableColumn id="3" xr3:uid="{FC1B1B37-3F15-4AD0-AA1B-B3B55BBC38E9}" uniqueName="3" name="Description" queryTableFieldId="3" dataDxfId="46"/>
    <tableColumn id="4" xr3:uid="{0E099175-E177-478A-A753-D68D7F234BA4}" uniqueName="4" name="Category" queryTableFieldId="4" dataDxfId="45"/>
    <tableColumn id="5" xr3:uid="{651FF9A8-DA13-4093-B3A2-82852B030CA1}" uniqueName="5" name="Type" queryTableFieldId="5" dataDxfId="44"/>
    <tableColumn id="6" xr3:uid="{37CAFC3E-5E8A-4D8E-A597-8A1753BCEC13}" uniqueName="6" name="Amount" queryTableFieldId="6" dataDxfId="43"/>
    <tableColumn id="7" xr3:uid="{9BA2AE47-329B-4BCE-AD5A-C537DA59840F}" uniqueName="7" name="Balance" queryTableFieldId="7"/>
    <tableColumn id="9" xr3:uid="{EE5C3756-1551-4887-8374-0FABF30CBCA2}" uniqueName="9" name="Year" queryTableFieldId="9" dataDxfId="42">
      <calculatedColumnFormula>YEAR(A2)</calculatedColumnFormula>
    </tableColumn>
    <tableColumn id="10" xr3:uid="{4E6BD55B-739C-488A-B333-D026096D48FB}" uniqueName="10" name="Month" queryTableFieldId="10" dataDxfId="41">
      <calculatedColumnFormula>TEXT(A2,"mmmm")</calculatedColumnFormula>
    </tableColumn>
    <tableColumn id="11" xr3:uid="{46156850-E166-4AB8-A771-879966F68933}" uniqueName="11" name="Quarter" queryTableFieldId="11" dataDxfId="40">
      <calculatedColumnFormula>"Q"&amp;ROUNDUP(MONTH(A2)/3,0)</calculatedColumnFormula>
    </tableColumn>
    <tableColumn id="12" xr3:uid="{DD9B4059-577A-42E8-8863-8CDB513DE712}" uniqueName="12" name="Month_Year" queryTableFieldId="12" dataDxfId="39">
      <calculatedColumnFormula>TEXT(checking_account_main[[#This Row],[Date]],"mmm-yyyy")</calculatedColumnFormula>
    </tableColumn>
    <tableColumn id="13" xr3:uid="{E6C81C1C-AE12-49D0-B0FD-DBA86C6C0AE8}" uniqueName="13" name="Ending_Cash" queryTableFieldId="13" dataDxfId="38">
      <calculatedColumnFormula>_xlfn.XLOOKUP(checking_account_main[[#This Row],[Month_Year]],checking_account_main[Month_Year],checking_account_main[Balance],"",0,-1)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6014D-49AD-41F2-AFA1-FE6D13B1BC5C}" name="checking_account_secondary" displayName="checking_account_secondary" ref="A1:I49" tableType="queryTable" totalsRowShown="0">
  <autoFilter ref="A1:I49" xr:uid="{DE76014D-49AD-41F2-AFA1-FE6D13B1BC5C}"/>
  <tableColumns count="9">
    <tableColumn id="1" xr3:uid="{A414E744-BC46-4966-9CC2-571C242FA045}" uniqueName="1" name="date" queryTableFieldId="1" dataDxfId="37"/>
    <tableColumn id="2" xr3:uid="{648B13D4-F4C5-43F2-9849-2A2849BB4FF4}" uniqueName="2" name="transaction_id" queryTableFieldId="2" dataDxfId="36"/>
    <tableColumn id="3" xr3:uid="{EF8067A3-C23E-42ED-B1CA-61637440FF77}" uniqueName="3" name="description" queryTableFieldId="3" dataDxfId="35"/>
    <tableColumn id="4" xr3:uid="{B816C324-0BE3-4026-8899-2D88A7E18312}" uniqueName="4" name="category" queryTableFieldId="4" dataDxfId="34"/>
    <tableColumn id="5" xr3:uid="{6B0060F0-9E5E-47C8-9589-51D64F251CF4}" uniqueName="5" name="type" queryTableFieldId="5" dataDxfId="33"/>
    <tableColumn id="6" xr3:uid="{B690C5D7-3BF4-4CCD-B9E8-AA6064FA0C90}" uniqueName="6" name="amount" queryTableFieldId="6"/>
    <tableColumn id="7" xr3:uid="{C5DDD286-933D-440A-A78C-A2FA7A6518E8}" uniqueName="7" name="balance" queryTableFieldId="7"/>
    <tableColumn id="8" xr3:uid="{BB5A655E-5300-444D-9558-0F30723AFA06}" uniqueName="8" name="Month_Year" queryTableFieldId="8" dataDxfId="32">
      <calculatedColumnFormula>TEXT(checking_account_secondary[[#This Row],[date]],"mmm-yyyy")</calculatedColumnFormula>
    </tableColumn>
    <tableColumn id="9" xr3:uid="{ABC946A4-6E2D-4198-9FE2-508CF4F0B4B1}" uniqueName="9" name="Ending_Cash" queryTableFieldId="9" dataDxfId="31">
      <calculatedColumnFormula>_xlfn.XLOOKUP(checking_account_secondary[[#This Row],[Month_Year]],checking_account_secondary[Month_Year],checking_account_secondary[balance],"",0,-1)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3273AD-1381-4650-A871-E2AE621D13D4}" name="gusto_payroll" displayName="gusto_payroll" ref="A1:G93" tableType="queryTable" totalsRowShown="0">
  <autoFilter ref="A1:G93" xr:uid="{F03273AD-1381-4650-A871-E2AE621D13D4}"/>
  <tableColumns count="7">
    <tableColumn id="1" xr3:uid="{F89806B9-6155-4D29-8099-A75E6A05B6BC}" uniqueName="1" name="pay_date" queryTableFieldId="1" dataDxfId="30"/>
    <tableColumn id="2" xr3:uid="{80170768-A06D-4762-838E-6919956C1351}" uniqueName="2" name="employee_id" queryTableFieldId="2" dataDxfId="29"/>
    <tableColumn id="3" xr3:uid="{84A93965-381B-410B-8431-CC8502EAD2D5}" uniqueName="3" name="employee_name" queryTableFieldId="3" dataDxfId="28"/>
    <tableColumn id="4" xr3:uid="{8D5B7771-8DCF-4850-B7CD-4C1C19F28E31}" uniqueName="4" name="role" queryTableFieldId="4" dataDxfId="27"/>
    <tableColumn id="5" xr3:uid="{192F6D50-FDBD-434C-B6F3-92FE26E58120}" uniqueName="5" name="type" queryTableFieldId="5" dataDxfId="26"/>
    <tableColumn id="6" xr3:uid="{CA345F8A-5149-458E-A5DC-0A30EE5F30FA}" uniqueName="6" name="amount" queryTableFieldId="6"/>
    <tableColumn id="7" xr3:uid="{4A21CCC9-2164-401B-B64D-B0ED6EE1E69D}" uniqueName="7" name="account" queryTableFieldId="7" dataDxfId="2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ADD785-E9C1-41AD-8C70-98A10E189143}" name="credit_card_account" displayName="credit_card_account" ref="A1:H134" tableType="queryTable" totalsRowShown="0">
  <autoFilter ref="A1:H134" xr:uid="{7AADD785-E9C1-41AD-8C70-98A10E189143}"/>
  <tableColumns count="8">
    <tableColumn id="1" xr3:uid="{03987F5A-1034-48C4-8497-5AFAC40B0F30}" uniqueName="1" name="date" queryTableFieldId="1" dataDxfId="24"/>
    <tableColumn id="2" xr3:uid="{69C377F0-A8B5-4D56-83AC-30C7F2ECC1E7}" uniqueName="2" name="transaction_id" queryTableFieldId="2" dataDxfId="23"/>
    <tableColumn id="3" xr3:uid="{AE374C76-92F7-42A1-88A1-567BE5C280F1}" uniqueName="3" name="vendor" queryTableFieldId="3" dataDxfId="22"/>
    <tableColumn id="4" xr3:uid="{B48B524D-412E-4D5B-A90B-1C5FA1E2EE37}" uniqueName="4" name="category" queryTableFieldId="4" dataDxfId="21"/>
    <tableColumn id="5" xr3:uid="{32749E81-3C28-45D6-A372-C2284145A9B2}" uniqueName="5" name="type" queryTableFieldId="5" dataDxfId="20"/>
    <tableColumn id="6" xr3:uid="{741DBB38-CCF6-4E50-9E11-22BA89377C9F}" uniqueName="6" name="amount" queryTableFieldId="6"/>
    <tableColumn id="7" xr3:uid="{6C574662-E7A6-46D3-86FA-3A4E1765602A}" uniqueName="7" name="balance" queryTableFieldId="7"/>
    <tableColumn id="8" xr3:uid="{AE38F859-23EC-4A63-BC24-6FC057955EDB}" uniqueName="8" name="Month_Year" queryTableFieldId="8" dataDxfId="19">
      <calculatedColumnFormula>DATE(YEAR(credit_card_account[[#This Row],[date]]),MONTH(credit_card_account[[#This Row],[date]]),1)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8311BC-A20E-470F-876F-58EDC0402074}" name="gusto_payroll_bc" displayName="gusto_payroll_bc" ref="A1:Q267" tableType="queryTable" totalsRowShown="0">
  <autoFilter ref="A1:Q267" xr:uid="{D88311BC-A20E-470F-876F-58EDC0402074}"/>
  <tableColumns count="17">
    <tableColumn id="1" xr3:uid="{B9F4C3A4-603B-4ADF-B218-2DDC9A18A23E}" uniqueName="1" name="Column1" queryTableFieldId="1"/>
    <tableColumn id="2" xr3:uid="{DE0D328E-CC3F-4BE2-A409-D0549239475D}" uniqueName="2" name="Employee_Name" queryTableFieldId="2" dataDxfId="18"/>
    <tableColumn id="3" xr3:uid="{E1B1AFF2-87D5-49DE-B4E9-62AB11CCE03E}" uniqueName="3" name="Role" queryTableFieldId="3" dataDxfId="17"/>
    <tableColumn id="4" xr3:uid="{7D10A1E3-426B-4456-8528-D08680D28CAF}" uniqueName="4" name="Pay_Date" queryTableFieldId="4" dataDxfId="16"/>
    <tableColumn id="5" xr3:uid="{B10BF7C0-CF5C-4DBD-A450-06AEF921ABD0}" uniqueName="5" name="Gross_Pay" queryTableFieldId="5"/>
    <tableColumn id="6" xr3:uid="{7A9AF50F-6F79-4F63-8020-5F0F765AE3EC}" uniqueName="6" name="Federal_Tax" queryTableFieldId="6"/>
    <tableColumn id="7" xr3:uid="{E61CD56A-2B27-4097-AF2B-8D775A3F6346}" uniqueName="7" name="Provincial_Tax" queryTableFieldId="7"/>
    <tableColumn id="8" xr3:uid="{C0B062BA-002E-4449-B5FB-9F64ED8613F7}" uniqueName="8" name="CPP" queryTableFieldId="8"/>
    <tableColumn id="9" xr3:uid="{8F457E71-3B23-4AC1-9174-3479C1F9BBA3}" uniqueName="9" name="EI" queryTableFieldId="9"/>
    <tableColumn id="10" xr3:uid="{1425B8E8-59DB-4F9A-A501-2A4B5A69C3E8}" uniqueName="10" name="Other_Deductions" queryTableFieldId="10"/>
    <tableColumn id="11" xr3:uid="{09BF8747-0EF9-45A3-811D-1EB0013E67E0}" uniqueName="11" name="Net_Pay" queryTableFieldId="11"/>
    <tableColumn id="12" xr3:uid="{08A35FA9-CEF1-4CCF-A7C0-9302AB5177BE}" uniqueName="12" name="Employer_CPP" queryTableFieldId="12"/>
    <tableColumn id="13" xr3:uid="{9D79B526-C5D3-4E97-A603-B8BA12899F19}" uniqueName="13" name="Employer_EI" queryTableFieldId="13"/>
    <tableColumn id="14" xr3:uid="{022B2DA4-44A7-42DA-9303-D9C2D0FB5AA8}" uniqueName="14" name="Tips" queryTableFieldId="14"/>
    <tableColumn id="15" xr3:uid="{0EC84ED2-677E-400C-85E5-2759B5D5DBEA}" uniqueName="15" name="Travel_Reimbursement" queryTableFieldId="15"/>
    <tableColumn id="16" xr3:uid="{543A5206-6F4E-48B6-B99E-2A82205BDE93}" uniqueName="16" name="Month_Year" queryTableFieldId="16" dataDxfId="15">
      <calculatedColumnFormula>DATE(YEAR(gusto_payroll_bc[[#This Row],[Pay_Date]]),MONTH(gusto_payroll_bc[[#This Row],[Pay_Date]]),1)</calculatedColumnFormula>
    </tableColumn>
    <tableColumn id="17" xr3:uid="{C39ACBE1-4FA3-43D6-9BEC-315BE18D3876}" uniqueName="17" name="Total_Employer_Cost" queryTableFieldId="17" dataDxfId="14">
      <calculatedColumnFormula>SUM(E2,H2,I2)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CBE713-882F-47D7-8E14-6286F9F99029}" name="Table6" displayName="Table6" ref="A1:G26" totalsRowCount="1">
  <autoFilter ref="A1:G25" xr:uid="{05CBE713-882F-47D7-8E14-6286F9F99029}"/>
  <tableColumns count="7">
    <tableColumn id="1" xr3:uid="{EABCDD70-E8A3-48E8-8CDA-B7D111DB16BF}" name="Month" dataDxfId="13" totalsRowDxfId="12"/>
    <tableColumn id="2" xr3:uid="{4F4EC098-33C6-422A-8CB9-871D8E3B0085}" name="Sales Revenue" totalsRowFunction="custom" dataDxfId="11" totalsRowDxfId="10">
      <calculatedColumnFormula>SUMIFS(checking_account_main[Amount],
checking_account_main[Category],"Sales Revenue",
checking_account_main[Month_Year],A2)</calculatedColumnFormula>
      <totalsRowFormula>SUM(B2:B25)</totalsRowFormula>
    </tableColumn>
    <tableColumn id="3" xr3:uid="{43781CAB-2643-4E38-AE07-03C1A39CC651}" name="Operating Expense" totalsRowFunction="custom" dataDxfId="9" totalsRowDxfId="8">
      <calculatedColumnFormula>SUMIFS(checking_account_main[Amount],
checking_account_main[Category],"Operating Expense",
checking_account_main[Month_Year],A2)</calculatedColumnFormula>
      <totalsRowFormula>SUM(C2:C25)</totalsRowFormula>
    </tableColumn>
    <tableColumn id="4" xr3:uid="{9E80942A-B180-4B17-8E5F-EE7E5AAD6C84}" name="COGS" totalsRowFunction="custom" dataDxfId="7" totalsRowDxfId="6">
      <calculatedColumnFormula>SUMIFS(checking_account_main[Amount],
checking_account_main[Category],"COGS",
checking_account_main[Month_Year],A2)</calculatedColumnFormula>
      <totalsRowFormula>SUM(D2:D25)</totalsRowFormula>
    </tableColumn>
    <tableColumn id="5" xr3:uid="{A59C569A-42CC-4AD3-8F9B-2C28C16BDD30}" name="Payroll" totalsRowFunction="custom" dataDxfId="5" totalsRowDxfId="4">
      <calculatedColumnFormula>SUMIFS(gusto_payroll_bc[Total_Employer_Cost],gusto_payroll_bc[Month_Year],A2)</calculatedColumnFormula>
      <totalsRowFormula>SUM(E2:E25)</totalsRowFormula>
    </tableColumn>
    <tableColumn id="6" xr3:uid="{4CFC930C-A9D3-4208-914F-2AF9E15E5099}" name="Credit Card Expense" totalsRowFunction="custom" dataDxfId="3" totalsRowDxfId="2">
      <calculatedColumnFormula>SUMIFS(credit_card_account[amount],credit_card_account[type], "Debit", credit_card_account[Month_Year], A2)</calculatedColumnFormula>
      <totalsRowFormula>SUM(F2:F25)</totalsRowFormula>
    </tableColumn>
    <tableColumn id="7" xr3:uid="{6480BC65-EB83-4F58-AFF0-AEE0D8CBE8A5}" name="Net Profit" totalsRowFunction="custom" dataDxfId="1" totalsRowDxfId="0">
      <calculatedColumnFormula>B2-SUM(C2:F2)</calculatedColumnFormula>
      <totalsRowFormula>SUM(G2:G25)</totalsRow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C3BF55-62A0-466E-8274-1B9B1288F779}" name="Table7" displayName="Table7" ref="X3:Z7" totalsRowShown="0">
  <autoFilter ref="X3:Z7" xr:uid="{2DC3BF55-62A0-466E-8274-1B9B1288F779}"/>
  <tableColumns count="3">
    <tableColumn id="1" xr3:uid="{38BBD0AE-164A-4AE2-8DC5-E9C9488E809D}" name="Expense Category"/>
    <tableColumn id="2" xr3:uid="{1C9C6C0D-A54F-4FAF-8C2C-F11AD28935F1}" name="2022" dataDxfId="52"/>
    <tableColumn id="3" xr3:uid="{2BBF1980-C5B8-49CD-A812-40CAE354AA3B}" name="2023" dataDxfId="51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9330E1-F210-462F-A6EF-B4576031D9E3}" name="Table9" displayName="Table9" ref="U1:V25" totalsRowShown="0">
  <autoFilter ref="U1:V25" xr:uid="{2A9330E1-F210-462F-A6EF-B4576031D9E3}"/>
  <tableColumns count="2">
    <tableColumn id="1" xr3:uid="{69315F24-63E9-4611-9DD5-3E6BE7BA3B0A}" name="Month" dataDxfId="50">
      <calculatedColumnFormula>Table6[[#This Row],[Month]]</calculatedColumnFormula>
    </tableColumn>
    <tableColumn id="2" xr3:uid="{EF3275F5-73CD-48E6-9187-47AC2EEF1EB5}" name="Net Profit" dataDxfId="49">
      <calculatedColumnFormula>Table6[[#This Row],[Net Profit]]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1321-7FEF-4755-9E3A-4E93807B2C50}">
  <dimension ref="A1:L878"/>
  <sheetViews>
    <sheetView workbookViewId="0">
      <selection activeCell="N4" sqref="N4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20.77734375" bestFit="1" customWidth="1"/>
    <col min="4" max="4" width="16" bestFit="1" customWidth="1"/>
    <col min="5" max="5" width="6.88671875" bestFit="1" customWidth="1"/>
    <col min="6" max="6" width="9.5546875" bestFit="1" customWidth="1"/>
    <col min="7" max="7" width="9.88671875" bestFit="1" customWidth="1"/>
    <col min="11" max="11" width="12.77734375" bestFit="1" customWidth="1"/>
    <col min="12" max="12" width="13.6640625" bestFit="1" customWidth="1"/>
  </cols>
  <sheetData>
    <row r="1" spans="1:12" x14ac:dyDescent="0.3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1134</v>
      </c>
      <c r="I1" t="s">
        <v>1135</v>
      </c>
      <c r="J1" t="s">
        <v>1136</v>
      </c>
      <c r="K1" t="s">
        <v>1148</v>
      </c>
      <c r="L1" t="s">
        <v>1152</v>
      </c>
    </row>
    <row r="2" spans="1:12" x14ac:dyDescent="0.3">
      <c r="A2" s="1">
        <v>44562</v>
      </c>
      <c r="B2" t="s">
        <v>7</v>
      </c>
      <c r="C2" t="s">
        <v>8</v>
      </c>
      <c r="D2" t="s">
        <v>9</v>
      </c>
      <c r="E2" t="s">
        <v>10</v>
      </c>
      <c r="F2" s="3">
        <v>802</v>
      </c>
      <c r="G2">
        <v>15802</v>
      </c>
      <c r="H2">
        <f t="shared" ref="H2:H65" si="0">YEAR(A2)</f>
        <v>2022</v>
      </c>
      <c r="I2" t="str">
        <f t="shared" ref="I2:I65" si="1">TEXT(A2,"mmmm")</f>
        <v>January</v>
      </c>
      <c r="J2" t="str">
        <f t="shared" ref="J2:J65" si="2">"Q"&amp;ROUNDUP(MONTH(A2)/3,0)</f>
        <v>Q1</v>
      </c>
      <c r="K2" t="str">
        <f>TEXT(checking_account_main[[#This Row],[Date]],"mmm-yyyy")</f>
        <v>Jan-2022</v>
      </c>
      <c r="L2">
        <f>_xlfn.XLOOKUP(checking_account_main[[#This Row],[Month_Year]],checking_account_main[Month_Year],checking_account_main[Balance],"",0,-1)</f>
        <v>40978</v>
      </c>
    </row>
    <row r="3" spans="1:12" x14ac:dyDescent="0.3">
      <c r="A3" s="1">
        <v>44563</v>
      </c>
      <c r="B3" t="s">
        <v>11</v>
      </c>
      <c r="C3" t="s">
        <v>8</v>
      </c>
      <c r="D3" t="s">
        <v>9</v>
      </c>
      <c r="E3" t="s">
        <v>10</v>
      </c>
      <c r="F3" s="3">
        <v>970</v>
      </c>
      <c r="G3">
        <v>16772</v>
      </c>
      <c r="H3">
        <f t="shared" si="0"/>
        <v>2022</v>
      </c>
      <c r="I3" t="str">
        <f t="shared" si="1"/>
        <v>January</v>
      </c>
      <c r="J3" t="str">
        <f t="shared" si="2"/>
        <v>Q1</v>
      </c>
      <c r="K3" t="str">
        <f>TEXT(checking_account_main[[#This Row],[Date]],"mmm-yyyy")</f>
        <v>Jan-2022</v>
      </c>
      <c r="L3">
        <f>_xlfn.XLOOKUP(checking_account_main[[#This Row],[Month_Year]],checking_account_main[Month_Year],checking_account_main[Balance],"",0,-1)</f>
        <v>40978</v>
      </c>
    </row>
    <row r="4" spans="1:12" x14ac:dyDescent="0.3">
      <c r="A4" s="1">
        <v>44564</v>
      </c>
      <c r="B4" t="s">
        <v>12</v>
      </c>
      <c r="C4" t="s">
        <v>8</v>
      </c>
      <c r="D4" t="s">
        <v>9</v>
      </c>
      <c r="E4" t="s">
        <v>10</v>
      </c>
      <c r="F4" s="3">
        <v>888</v>
      </c>
      <c r="G4">
        <v>17660</v>
      </c>
      <c r="H4">
        <f t="shared" si="0"/>
        <v>2022</v>
      </c>
      <c r="I4" t="str">
        <f t="shared" si="1"/>
        <v>January</v>
      </c>
      <c r="J4" t="str">
        <f t="shared" si="2"/>
        <v>Q1</v>
      </c>
      <c r="K4" t="str">
        <f>TEXT(checking_account_main[[#This Row],[Date]],"mmm-yyyy")</f>
        <v>Jan-2022</v>
      </c>
      <c r="L4">
        <f>_xlfn.XLOOKUP(checking_account_main[[#This Row],[Month_Year]],checking_account_main[Month_Year],checking_account_main[Balance],"",0,-1)</f>
        <v>40978</v>
      </c>
    </row>
    <row r="5" spans="1:12" x14ac:dyDescent="0.3">
      <c r="A5" s="1">
        <v>44565</v>
      </c>
      <c r="B5" t="s">
        <v>13</v>
      </c>
      <c r="C5" t="s">
        <v>8</v>
      </c>
      <c r="D5" t="s">
        <v>9</v>
      </c>
      <c r="E5" t="s">
        <v>10</v>
      </c>
      <c r="F5" s="3">
        <v>821</v>
      </c>
      <c r="G5">
        <v>18481</v>
      </c>
      <c r="H5">
        <f t="shared" si="0"/>
        <v>2022</v>
      </c>
      <c r="I5" t="str">
        <f t="shared" si="1"/>
        <v>January</v>
      </c>
      <c r="J5" t="str">
        <f t="shared" si="2"/>
        <v>Q1</v>
      </c>
      <c r="K5" t="str">
        <f>TEXT(checking_account_main[[#This Row],[Date]],"mmm-yyyy")</f>
        <v>Jan-2022</v>
      </c>
      <c r="L5">
        <f>_xlfn.XLOOKUP(checking_account_main[[#This Row],[Month_Year]],checking_account_main[Month_Year],checking_account_main[Balance],"",0,-1)</f>
        <v>40978</v>
      </c>
    </row>
    <row r="6" spans="1:12" x14ac:dyDescent="0.3">
      <c r="A6" s="1">
        <v>44565</v>
      </c>
      <c r="B6" t="s">
        <v>14</v>
      </c>
      <c r="C6" t="s">
        <v>15</v>
      </c>
      <c r="D6" t="s">
        <v>16</v>
      </c>
      <c r="E6" t="s">
        <v>17</v>
      </c>
      <c r="F6" s="3">
        <v>430</v>
      </c>
      <c r="G6">
        <v>18051</v>
      </c>
      <c r="H6">
        <f t="shared" si="0"/>
        <v>2022</v>
      </c>
      <c r="I6" t="str">
        <f t="shared" si="1"/>
        <v>January</v>
      </c>
      <c r="J6" t="str">
        <f t="shared" si="2"/>
        <v>Q1</v>
      </c>
      <c r="K6" t="str">
        <f>TEXT(checking_account_main[[#This Row],[Date]],"mmm-yyyy")</f>
        <v>Jan-2022</v>
      </c>
      <c r="L6">
        <f>_xlfn.XLOOKUP(checking_account_main[[#This Row],[Month_Year]],checking_account_main[Month_Year],checking_account_main[Balance],"",0,-1)</f>
        <v>40978</v>
      </c>
    </row>
    <row r="7" spans="1:12" x14ac:dyDescent="0.3">
      <c r="A7" s="1">
        <v>44566</v>
      </c>
      <c r="B7" t="s">
        <v>18</v>
      </c>
      <c r="C7" t="s">
        <v>8</v>
      </c>
      <c r="D7" t="s">
        <v>9</v>
      </c>
      <c r="E7" t="s">
        <v>10</v>
      </c>
      <c r="F7" s="3">
        <v>787</v>
      </c>
      <c r="G7">
        <v>18838</v>
      </c>
      <c r="H7">
        <f t="shared" si="0"/>
        <v>2022</v>
      </c>
      <c r="I7" t="str">
        <f t="shared" si="1"/>
        <v>January</v>
      </c>
      <c r="J7" t="str">
        <f t="shared" si="2"/>
        <v>Q1</v>
      </c>
      <c r="K7" t="str">
        <f>TEXT(checking_account_main[[#This Row],[Date]],"mmm-yyyy")</f>
        <v>Jan-2022</v>
      </c>
      <c r="L7">
        <f>_xlfn.XLOOKUP(checking_account_main[[#This Row],[Month_Year]],checking_account_main[Month_Year],checking_account_main[Balance],"",0,-1)</f>
        <v>40978</v>
      </c>
    </row>
    <row r="8" spans="1:12" x14ac:dyDescent="0.3">
      <c r="A8" s="1">
        <v>44567</v>
      </c>
      <c r="B8" t="s">
        <v>19</v>
      </c>
      <c r="C8" t="s">
        <v>8</v>
      </c>
      <c r="D8" t="s">
        <v>9</v>
      </c>
      <c r="E8" t="s">
        <v>10</v>
      </c>
      <c r="F8" s="3">
        <v>1059</v>
      </c>
      <c r="G8">
        <v>19897</v>
      </c>
      <c r="H8">
        <f t="shared" si="0"/>
        <v>2022</v>
      </c>
      <c r="I8" t="str">
        <f t="shared" si="1"/>
        <v>January</v>
      </c>
      <c r="J8" t="str">
        <f t="shared" si="2"/>
        <v>Q1</v>
      </c>
      <c r="K8" t="str">
        <f>TEXT(checking_account_main[[#This Row],[Date]],"mmm-yyyy")</f>
        <v>Jan-2022</v>
      </c>
      <c r="L8">
        <f>_xlfn.XLOOKUP(checking_account_main[[#This Row],[Month_Year]],checking_account_main[Month_Year],checking_account_main[Balance],"",0,-1)</f>
        <v>40978</v>
      </c>
    </row>
    <row r="9" spans="1:12" x14ac:dyDescent="0.3">
      <c r="A9" s="1">
        <v>44568</v>
      </c>
      <c r="B9" t="s">
        <v>20</v>
      </c>
      <c r="C9" t="s">
        <v>8</v>
      </c>
      <c r="D9" t="s">
        <v>9</v>
      </c>
      <c r="E9" t="s">
        <v>10</v>
      </c>
      <c r="F9" s="3">
        <v>849</v>
      </c>
      <c r="G9">
        <v>20746</v>
      </c>
      <c r="H9">
        <f t="shared" si="0"/>
        <v>2022</v>
      </c>
      <c r="I9" t="str">
        <f t="shared" si="1"/>
        <v>January</v>
      </c>
      <c r="J9" t="str">
        <f t="shared" si="2"/>
        <v>Q1</v>
      </c>
      <c r="K9" t="str">
        <f>TEXT(checking_account_main[[#This Row],[Date]],"mmm-yyyy")</f>
        <v>Jan-2022</v>
      </c>
      <c r="L9">
        <f>_xlfn.XLOOKUP(checking_account_main[[#This Row],[Month_Year]],checking_account_main[Month_Year],checking_account_main[Balance],"",0,-1)</f>
        <v>40978</v>
      </c>
    </row>
    <row r="10" spans="1:12" x14ac:dyDescent="0.3">
      <c r="A10" s="1">
        <v>44568</v>
      </c>
      <c r="B10" t="s">
        <v>21</v>
      </c>
      <c r="C10" t="s">
        <v>22</v>
      </c>
      <c r="D10" t="s">
        <v>16</v>
      </c>
      <c r="E10" t="s">
        <v>17</v>
      </c>
      <c r="F10" s="3">
        <v>443</v>
      </c>
      <c r="G10">
        <v>20303</v>
      </c>
      <c r="H10">
        <f t="shared" si="0"/>
        <v>2022</v>
      </c>
      <c r="I10" t="str">
        <f t="shared" si="1"/>
        <v>January</v>
      </c>
      <c r="J10" t="str">
        <f t="shared" si="2"/>
        <v>Q1</v>
      </c>
      <c r="K10" t="str">
        <f>TEXT(checking_account_main[[#This Row],[Date]],"mmm-yyyy")</f>
        <v>Jan-2022</v>
      </c>
      <c r="L10">
        <f>_xlfn.XLOOKUP(checking_account_main[[#This Row],[Month_Year]],checking_account_main[Month_Year],checking_account_main[Balance],"",0,-1)</f>
        <v>40978</v>
      </c>
    </row>
    <row r="11" spans="1:12" x14ac:dyDescent="0.3">
      <c r="A11" s="1">
        <v>44569</v>
      </c>
      <c r="B11" t="s">
        <v>23</v>
      </c>
      <c r="C11" t="s">
        <v>8</v>
      </c>
      <c r="D11" t="s">
        <v>9</v>
      </c>
      <c r="E11" t="s">
        <v>10</v>
      </c>
      <c r="F11" s="3">
        <v>1113</v>
      </c>
      <c r="G11">
        <v>21416</v>
      </c>
      <c r="H11">
        <f t="shared" si="0"/>
        <v>2022</v>
      </c>
      <c r="I11" t="str">
        <f t="shared" si="1"/>
        <v>January</v>
      </c>
      <c r="J11" t="str">
        <f t="shared" si="2"/>
        <v>Q1</v>
      </c>
      <c r="K11" t="str">
        <f>TEXT(checking_account_main[[#This Row],[Date]],"mmm-yyyy")</f>
        <v>Jan-2022</v>
      </c>
      <c r="L11">
        <f>_xlfn.XLOOKUP(checking_account_main[[#This Row],[Month_Year]],checking_account_main[Month_Year],checking_account_main[Balance],"",0,-1)</f>
        <v>40978</v>
      </c>
    </row>
    <row r="12" spans="1:12" x14ac:dyDescent="0.3">
      <c r="A12" s="1">
        <v>44570</v>
      </c>
      <c r="B12" t="s">
        <v>24</v>
      </c>
      <c r="C12" t="s">
        <v>8</v>
      </c>
      <c r="D12" t="s">
        <v>9</v>
      </c>
      <c r="E12" t="s">
        <v>10</v>
      </c>
      <c r="F12" s="3">
        <v>891</v>
      </c>
      <c r="G12">
        <v>22307</v>
      </c>
      <c r="H12">
        <f t="shared" si="0"/>
        <v>2022</v>
      </c>
      <c r="I12" t="str">
        <f t="shared" si="1"/>
        <v>January</v>
      </c>
      <c r="J12" t="str">
        <f t="shared" si="2"/>
        <v>Q1</v>
      </c>
      <c r="K12" t="str">
        <f>TEXT(checking_account_main[[#This Row],[Date]],"mmm-yyyy")</f>
        <v>Jan-2022</v>
      </c>
      <c r="L12">
        <f>_xlfn.XLOOKUP(checking_account_main[[#This Row],[Month_Year]],checking_account_main[Month_Year],checking_account_main[Balance],"",0,-1)</f>
        <v>40978</v>
      </c>
    </row>
    <row r="13" spans="1:12" x14ac:dyDescent="0.3">
      <c r="A13" s="1">
        <v>44571</v>
      </c>
      <c r="B13" t="s">
        <v>25</v>
      </c>
      <c r="C13" t="s">
        <v>8</v>
      </c>
      <c r="D13" t="s">
        <v>9</v>
      </c>
      <c r="E13" t="s">
        <v>10</v>
      </c>
      <c r="F13" s="3">
        <v>860</v>
      </c>
      <c r="G13">
        <v>23167</v>
      </c>
      <c r="H13">
        <f t="shared" si="0"/>
        <v>2022</v>
      </c>
      <c r="I13" t="str">
        <f t="shared" si="1"/>
        <v>January</v>
      </c>
      <c r="J13" t="str">
        <f t="shared" si="2"/>
        <v>Q1</v>
      </c>
      <c r="K13" t="str">
        <f>TEXT(checking_account_main[[#This Row],[Date]],"mmm-yyyy")</f>
        <v>Jan-2022</v>
      </c>
      <c r="L13">
        <f>_xlfn.XLOOKUP(checking_account_main[[#This Row],[Month_Year]],checking_account_main[Month_Year],checking_account_main[Balance],"",0,-1)</f>
        <v>40978</v>
      </c>
    </row>
    <row r="14" spans="1:12" x14ac:dyDescent="0.3">
      <c r="A14" s="1">
        <v>44572</v>
      </c>
      <c r="B14" t="s">
        <v>26</v>
      </c>
      <c r="C14" t="s">
        <v>8</v>
      </c>
      <c r="D14" t="s">
        <v>9</v>
      </c>
      <c r="E14" t="s">
        <v>10</v>
      </c>
      <c r="F14" s="3">
        <v>721</v>
      </c>
      <c r="G14">
        <v>23888</v>
      </c>
      <c r="H14">
        <f t="shared" si="0"/>
        <v>2022</v>
      </c>
      <c r="I14" t="str">
        <f t="shared" si="1"/>
        <v>January</v>
      </c>
      <c r="J14" t="str">
        <f t="shared" si="2"/>
        <v>Q1</v>
      </c>
      <c r="K14" t="str">
        <f>TEXT(checking_account_main[[#This Row],[Date]],"mmm-yyyy")</f>
        <v>Jan-2022</v>
      </c>
      <c r="L14">
        <f>_xlfn.XLOOKUP(checking_account_main[[#This Row],[Month_Year]],checking_account_main[Month_Year],checking_account_main[Balance],"",0,-1)</f>
        <v>40978</v>
      </c>
    </row>
    <row r="15" spans="1:12" x14ac:dyDescent="0.3">
      <c r="A15" s="1">
        <v>44572</v>
      </c>
      <c r="B15" t="s">
        <v>27</v>
      </c>
      <c r="C15" t="s">
        <v>28</v>
      </c>
      <c r="D15" t="s">
        <v>29</v>
      </c>
      <c r="E15" t="s">
        <v>17</v>
      </c>
      <c r="F15" s="3">
        <v>444</v>
      </c>
      <c r="G15">
        <v>23444</v>
      </c>
      <c r="H15">
        <f t="shared" si="0"/>
        <v>2022</v>
      </c>
      <c r="I15" t="str">
        <f t="shared" si="1"/>
        <v>January</v>
      </c>
      <c r="J15" t="str">
        <f t="shared" si="2"/>
        <v>Q1</v>
      </c>
      <c r="K15" t="str">
        <f>TEXT(checking_account_main[[#This Row],[Date]],"mmm-yyyy")</f>
        <v>Jan-2022</v>
      </c>
      <c r="L15">
        <f>_xlfn.XLOOKUP(checking_account_main[[#This Row],[Month_Year]],checking_account_main[Month_Year],checking_account_main[Balance],"",0,-1)</f>
        <v>40978</v>
      </c>
    </row>
    <row r="16" spans="1:12" x14ac:dyDescent="0.3">
      <c r="A16" s="1">
        <v>44573</v>
      </c>
      <c r="B16" t="s">
        <v>30</v>
      </c>
      <c r="C16" t="s">
        <v>8</v>
      </c>
      <c r="D16" t="s">
        <v>9</v>
      </c>
      <c r="E16" t="s">
        <v>10</v>
      </c>
      <c r="F16" s="3">
        <v>1174</v>
      </c>
      <c r="G16">
        <v>24618</v>
      </c>
      <c r="H16">
        <f t="shared" si="0"/>
        <v>2022</v>
      </c>
      <c r="I16" t="str">
        <f t="shared" si="1"/>
        <v>January</v>
      </c>
      <c r="J16" t="str">
        <f t="shared" si="2"/>
        <v>Q1</v>
      </c>
      <c r="K16" t="str">
        <f>TEXT(checking_account_main[[#This Row],[Date]],"mmm-yyyy")</f>
        <v>Jan-2022</v>
      </c>
      <c r="L16">
        <f>_xlfn.XLOOKUP(checking_account_main[[#This Row],[Month_Year]],checking_account_main[Month_Year],checking_account_main[Balance],"",0,-1)</f>
        <v>40978</v>
      </c>
    </row>
    <row r="17" spans="1:12" x14ac:dyDescent="0.3">
      <c r="A17" s="1">
        <v>44574</v>
      </c>
      <c r="B17" t="s">
        <v>31</v>
      </c>
      <c r="C17" t="s">
        <v>8</v>
      </c>
      <c r="D17" t="s">
        <v>9</v>
      </c>
      <c r="E17" t="s">
        <v>10</v>
      </c>
      <c r="F17" s="3">
        <v>869</v>
      </c>
      <c r="G17">
        <v>25487</v>
      </c>
      <c r="H17">
        <f t="shared" si="0"/>
        <v>2022</v>
      </c>
      <c r="I17" t="str">
        <f t="shared" si="1"/>
        <v>January</v>
      </c>
      <c r="J17" t="str">
        <f t="shared" si="2"/>
        <v>Q1</v>
      </c>
      <c r="K17" t="str">
        <f>TEXT(checking_account_main[[#This Row],[Date]],"mmm-yyyy")</f>
        <v>Jan-2022</v>
      </c>
      <c r="L17">
        <f>_xlfn.XLOOKUP(checking_account_main[[#This Row],[Month_Year]],checking_account_main[Month_Year],checking_account_main[Balance],"",0,-1)</f>
        <v>40978</v>
      </c>
    </row>
    <row r="18" spans="1:12" x14ac:dyDescent="0.3">
      <c r="A18" s="1">
        <v>44574</v>
      </c>
      <c r="B18" t="s">
        <v>32</v>
      </c>
      <c r="C18" t="s">
        <v>15</v>
      </c>
      <c r="D18" t="s">
        <v>16</v>
      </c>
      <c r="E18" t="s">
        <v>17</v>
      </c>
      <c r="F18" s="3">
        <v>287</v>
      </c>
      <c r="G18">
        <v>25200</v>
      </c>
      <c r="H18">
        <f t="shared" si="0"/>
        <v>2022</v>
      </c>
      <c r="I18" t="str">
        <f t="shared" si="1"/>
        <v>January</v>
      </c>
      <c r="J18" t="str">
        <f t="shared" si="2"/>
        <v>Q1</v>
      </c>
      <c r="K18" t="str">
        <f>TEXT(checking_account_main[[#This Row],[Date]],"mmm-yyyy")</f>
        <v>Jan-2022</v>
      </c>
      <c r="L18">
        <f>_xlfn.XLOOKUP(checking_account_main[[#This Row],[Month_Year]],checking_account_main[Month_Year],checking_account_main[Balance],"",0,-1)</f>
        <v>40978</v>
      </c>
    </row>
    <row r="19" spans="1:12" x14ac:dyDescent="0.3">
      <c r="A19" s="1">
        <v>44575</v>
      </c>
      <c r="B19" t="s">
        <v>33</v>
      </c>
      <c r="C19" t="s">
        <v>8</v>
      </c>
      <c r="D19" t="s">
        <v>9</v>
      </c>
      <c r="E19" t="s">
        <v>10</v>
      </c>
      <c r="F19" s="3">
        <v>1063</v>
      </c>
      <c r="G19">
        <v>26263</v>
      </c>
      <c r="H19">
        <f t="shared" si="0"/>
        <v>2022</v>
      </c>
      <c r="I19" t="str">
        <f t="shared" si="1"/>
        <v>January</v>
      </c>
      <c r="J19" t="str">
        <f t="shared" si="2"/>
        <v>Q1</v>
      </c>
      <c r="K19" t="str">
        <f>TEXT(checking_account_main[[#This Row],[Date]],"mmm-yyyy")</f>
        <v>Jan-2022</v>
      </c>
      <c r="L19">
        <f>_xlfn.XLOOKUP(checking_account_main[[#This Row],[Month_Year]],checking_account_main[Month_Year],checking_account_main[Balance],"",0,-1)</f>
        <v>40978</v>
      </c>
    </row>
    <row r="20" spans="1:12" x14ac:dyDescent="0.3">
      <c r="A20" s="1">
        <v>44576</v>
      </c>
      <c r="B20" t="s">
        <v>34</v>
      </c>
      <c r="C20" t="s">
        <v>8</v>
      </c>
      <c r="D20" t="s">
        <v>9</v>
      </c>
      <c r="E20" t="s">
        <v>10</v>
      </c>
      <c r="F20" s="3">
        <v>1019</v>
      </c>
      <c r="G20">
        <v>27282</v>
      </c>
      <c r="H20">
        <f t="shared" si="0"/>
        <v>2022</v>
      </c>
      <c r="I20" t="str">
        <f t="shared" si="1"/>
        <v>January</v>
      </c>
      <c r="J20" t="str">
        <f t="shared" si="2"/>
        <v>Q1</v>
      </c>
      <c r="K20" t="str">
        <f>TEXT(checking_account_main[[#This Row],[Date]],"mmm-yyyy")</f>
        <v>Jan-2022</v>
      </c>
      <c r="L20">
        <f>_xlfn.XLOOKUP(checking_account_main[[#This Row],[Month_Year]],checking_account_main[Month_Year],checking_account_main[Balance],"",0,-1)</f>
        <v>40978</v>
      </c>
    </row>
    <row r="21" spans="1:12" x14ac:dyDescent="0.3">
      <c r="A21" s="1">
        <v>44577</v>
      </c>
      <c r="B21" t="s">
        <v>35</v>
      </c>
      <c r="C21" t="s">
        <v>8</v>
      </c>
      <c r="D21" t="s">
        <v>9</v>
      </c>
      <c r="E21" t="s">
        <v>10</v>
      </c>
      <c r="F21" s="3">
        <v>1184</v>
      </c>
      <c r="G21">
        <v>28466</v>
      </c>
      <c r="H21">
        <f t="shared" si="0"/>
        <v>2022</v>
      </c>
      <c r="I21" t="str">
        <f t="shared" si="1"/>
        <v>January</v>
      </c>
      <c r="J21" t="str">
        <f t="shared" si="2"/>
        <v>Q1</v>
      </c>
      <c r="K21" t="str">
        <f>TEXT(checking_account_main[[#This Row],[Date]],"mmm-yyyy")</f>
        <v>Jan-2022</v>
      </c>
      <c r="L21">
        <f>_xlfn.XLOOKUP(checking_account_main[[#This Row],[Month_Year]],checking_account_main[Month_Year],checking_account_main[Balance],"",0,-1)</f>
        <v>40978</v>
      </c>
    </row>
    <row r="22" spans="1:12" x14ac:dyDescent="0.3">
      <c r="A22" s="1">
        <v>44578</v>
      </c>
      <c r="B22" t="s">
        <v>36</v>
      </c>
      <c r="C22" t="s">
        <v>8</v>
      </c>
      <c r="D22" t="s">
        <v>9</v>
      </c>
      <c r="E22" t="s">
        <v>10</v>
      </c>
      <c r="F22" s="3">
        <v>720</v>
      </c>
      <c r="G22">
        <v>29186</v>
      </c>
      <c r="H22">
        <f t="shared" si="0"/>
        <v>2022</v>
      </c>
      <c r="I22" t="str">
        <f t="shared" si="1"/>
        <v>January</v>
      </c>
      <c r="J22" t="str">
        <f t="shared" si="2"/>
        <v>Q1</v>
      </c>
      <c r="K22" t="str">
        <f>TEXT(checking_account_main[[#This Row],[Date]],"mmm-yyyy")</f>
        <v>Jan-2022</v>
      </c>
      <c r="L22">
        <f>_xlfn.XLOOKUP(checking_account_main[[#This Row],[Month_Year]],checking_account_main[Month_Year],checking_account_main[Balance],"",0,-1)</f>
        <v>40978</v>
      </c>
    </row>
    <row r="23" spans="1:12" x14ac:dyDescent="0.3">
      <c r="A23" s="1">
        <v>44579</v>
      </c>
      <c r="B23" t="s">
        <v>37</v>
      </c>
      <c r="C23" t="s">
        <v>8</v>
      </c>
      <c r="D23" t="s">
        <v>9</v>
      </c>
      <c r="E23" t="s">
        <v>10</v>
      </c>
      <c r="F23" s="3">
        <v>973</v>
      </c>
      <c r="G23">
        <v>30159</v>
      </c>
      <c r="H23">
        <f t="shared" si="0"/>
        <v>2022</v>
      </c>
      <c r="I23" t="str">
        <f t="shared" si="1"/>
        <v>January</v>
      </c>
      <c r="J23" t="str">
        <f t="shared" si="2"/>
        <v>Q1</v>
      </c>
      <c r="K23" t="str">
        <f>TEXT(checking_account_main[[#This Row],[Date]],"mmm-yyyy")</f>
        <v>Jan-2022</v>
      </c>
      <c r="L23">
        <f>_xlfn.XLOOKUP(checking_account_main[[#This Row],[Month_Year]],checking_account_main[Month_Year],checking_account_main[Balance],"",0,-1)</f>
        <v>40978</v>
      </c>
    </row>
    <row r="24" spans="1:12" x14ac:dyDescent="0.3">
      <c r="A24" s="1">
        <v>44580</v>
      </c>
      <c r="B24" t="s">
        <v>38</v>
      </c>
      <c r="C24" t="s">
        <v>8</v>
      </c>
      <c r="D24" t="s">
        <v>9</v>
      </c>
      <c r="E24" t="s">
        <v>10</v>
      </c>
      <c r="F24" s="3">
        <v>1015</v>
      </c>
      <c r="G24">
        <v>31174</v>
      </c>
      <c r="H24">
        <f t="shared" si="0"/>
        <v>2022</v>
      </c>
      <c r="I24" t="str">
        <f t="shared" si="1"/>
        <v>January</v>
      </c>
      <c r="J24" t="str">
        <f t="shared" si="2"/>
        <v>Q1</v>
      </c>
      <c r="K24" t="str">
        <f>TEXT(checking_account_main[[#This Row],[Date]],"mmm-yyyy")</f>
        <v>Jan-2022</v>
      </c>
      <c r="L24">
        <f>_xlfn.XLOOKUP(checking_account_main[[#This Row],[Month_Year]],checking_account_main[Month_Year],checking_account_main[Balance],"",0,-1)</f>
        <v>40978</v>
      </c>
    </row>
    <row r="25" spans="1:12" x14ac:dyDescent="0.3">
      <c r="A25" s="1">
        <v>44581</v>
      </c>
      <c r="B25" t="s">
        <v>39</v>
      </c>
      <c r="C25" t="s">
        <v>8</v>
      </c>
      <c r="D25" t="s">
        <v>9</v>
      </c>
      <c r="E25" t="s">
        <v>10</v>
      </c>
      <c r="F25" s="3">
        <v>964</v>
      </c>
      <c r="G25">
        <v>32138</v>
      </c>
      <c r="H25">
        <f t="shared" si="0"/>
        <v>2022</v>
      </c>
      <c r="I25" t="str">
        <f t="shared" si="1"/>
        <v>January</v>
      </c>
      <c r="J25" t="str">
        <f t="shared" si="2"/>
        <v>Q1</v>
      </c>
      <c r="K25" t="str">
        <f>TEXT(checking_account_main[[#This Row],[Date]],"mmm-yyyy")</f>
        <v>Jan-2022</v>
      </c>
      <c r="L25">
        <f>_xlfn.XLOOKUP(checking_account_main[[#This Row],[Month_Year]],checking_account_main[Month_Year],checking_account_main[Balance],"",0,-1)</f>
        <v>40978</v>
      </c>
    </row>
    <row r="26" spans="1:12" x14ac:dyDescent="0.3">
      <c r="A26" s="1">
        <v>44581</v>
      </c>
      <c r="B26" t="s">
        <v>40</v>
      </c>
      <c r="C26" t="s">
        <v>22</v>
      </c>
      <c r="D26" t="s">
        <v>16</v>
      </c>
      <c r="E26" t="s">
        <v>17</v>
      </c>
      <c r="F26" s="3">
        <v>485</v>
      </c>
      <c r="G26">
        <v>31653</v>
      </c>
      <c r="H26">
        <f t="shared" si="0"/>
        <v>2022</v>
      </c>
      <c r="I26" t="str">
        <f t="shared" si="1"/>
        <v>January</v>
      </c>
      <c r="J26" t="str">
        <f t="shared" si="2"/>
        <v>Q1</v>
      </c>
      <c r="K26" t="str">
        <f>TEXT(checking_account_main[[#This Row],[Date]],"mmm-yyyy")</f>
        <v>Jan-2022</v>
      </c>
      <c r="L26">
        <f>_xlfn.XLOOKUP(checking_account_main[[#This Row],[Month_Year]],checking_account_main[Month_Year],checking_account_main[Balance],"",0,-1)</f>
        <v>40978</v>
      </c>
    </row>
    <row r="27" spans="1:12" x14ac:dyDescent="0.3">
      <c r="A27" s="1">
        <v>44582</v>
      </c>
      <c r="B27" t="s">
        <v>41</v>
      </c>
      <c r="C27" t="s">
        <v>8</v>
      </c>
      <c r="D27" t="s">
        <v>9</v>
      </c>
      <c r="E27" t="s">
        <v>10</v>
      </c>
      <c r="F27" s="3">
        <v>791</v>
      </c>
      <c r="G27">
        <v>32444</v>
      </c>
      <c r="H27">
        <f t="shared" si="0"/>
        <v>2022</v>
      </c>
      <c r="I27" t="str">
        <f t="shared" si="1"/>
        <v>January</v>
      </c>
      <c r="J27" t="str">
        <f t="shared" si="2"/>
        <v>Q1</v>
      </c>
      <c r="K27" t="str">
        <f>TEXT(checking_account_main[[#This Row],[Date]],"mmm-yyyy")</f>
        <v>Jan-2022</v>
      </c>
      <c r="L27">
        <f>_xlfn.XLOOKUP(checking_account_main[[#This Row],[Month_Year]],checking_account_main[Month_Year],checking_account_main[Balance],"",0,-1)</f>
        <v>40978</v>
      </c>
    </row>
    <row r="28" spans="1:12" x14ac:dyDescent="0.3">
      <c r="A28" s="1">
        <v>44583</v>
      </c>
      <c r="B28" t="s">
        <v>42</v>
      </c>
      <c r="C28" t="s">
        <v>8</v>
      </c>
      <c r="D28" t="s">
        <v>9</v>
      </c>
      <c r="E28" t="s">
        <v>10</v>
      </c>
      <c r="F28" s="3">
        <v>1154</v>
      </c>
      <c r="G28">
        <v>33598</v>
      </c>
      <c r="H28">
        <f t="shared" si="0"/>
        <v>2022</v>
      </c>
      <c r="I28" t="str">
        <f t="shared" si="1"/>
        <v>January</v>
      </c>
      <c r="J28" t="str">
        <f t="shared" si="2"/>
        <v>Q1</v>
      </c>
      <c r="K28" t="str">
        <f>TEXT(checking_account_main[[#This Row],[Date]],"mmm-yyyy")</f>
        <v>Jan-2022</v>
      </c>
      <c r="L28">
        <f>_xlfn.XLOOKUP(checking_account_main[[#This Row],[Month_Year]],checking_account_main[Month_Year],checking_account_main[Balance],"",0,-1)</f>
        <v>40978</v>
      </c>
    </row>
    <row r="29" spans="1:12" x14ac:dyDescent="0.3">
      <c r="A29" s="1">
        <v>44584</v>
      </c>
      <c r="B29" t="s">
        <v>43</v>
      </c>
      <c r="C29" t="s">
        <v>8</v>
      </c>
      <c r="D29" t="s">
        <v>9</v>
      </c>
      <c r="E29" t="s">
        <v>10</v>
      </c>
      <c r="F29" s="3">
        <v>963</v>
      </c>
      <c r="G29">
        <v>34561</v>
      </c>
      <c r="H29">
        <f t="shared" si="0"/>
        <v>2022</v>
      </c>
      <c r="I29" t="str">
        <f t="shared" si="1"/>
        <v>January</v>
      </c>
      <c r="J29" t="str">
        <f t="shared" si="2"/>
        <v>Q1</v>
      </c>
      <c r="K29" t="str">
        <f>TEXT(checking_account_main[[#This Row],[Date]],"mmm-yyyy")</f>
        <v>Jan-2022</v>
      </c>
      <c r="L29">
        <f>_xlfn.XLOOKUP(checking_account_main[[#This Row],[Month_Year]],checking_account_main[Month_Year],checking_account_main[Balance],"",0,-1)</f>
        <v>40978</v>
      </c>
    </row>
    <row r="30" spans="1:12" x14ac:dyDescent="0.3">
      <c r="A30" s="1">
        <v>44584</v>
      </c>
      <c r="B30" t="s">
        <v>44</v>
      </c>
      <c r="C30" t="s">
        <v>28</v>
      </c>
      <c r="D30" t="s">
        <v>29</v>
      </c>
      <c r="E30" t="s">
        <v>17</v>
      </c>
      <c r="F30" s="3">
        <v>305</v>
      </c>
      <c r="G30">
        <v>34256</v>
      </c>
      <c r="H30">
        <f t="shared" si="0"/>
        <v>2022</v>
      </c>
      <c r="I30" t="str">
        <f t="shared" si="1"/>
        <v>January</v>
      </c>
      <c r="J30" t="str">
        <f t="shared" si="2"/>
        <v>Q1</v>
      </c>
      <c r="K30" t="str">
        <f>TEXT(checking_account_main[[#This Row],[Date]],"mmm-yyyy")</f>
        <v>Jan-2022</v>
      </c>
      <c r="L30">
        <f>_xlfn.XLOOKUP(checking_account_main[[#This Row],[Month_Year]],checking_account_main[Month_Year],checking_account_main[Balance],"",0,-1)</f>
        <v>40978</v>
      </c>
    </row>
    <row r="31" spans="1:12" x14ac:dyDescent="0.3">
      <c r="A31" s="1">
        <v>44585</v>
      </c>
      <c r="B31" t="s">
        <v>45</v>
      </c>
      <c r="C31" t="s">
        <v>8</v>
      </c>
      <c r="D31" t="s">
        <v>9</v>
      </c>
      <c r="E31" t="s">
        <v>10</v>
      </c>
      <c r="F31" s="3">
        <v>1119</v>
      </c>
      <c r="G31">
        <v>35375</v>
      </c>
      <c r="H31">
        <f t="shared" si="0"/>
        <v>2022</v>
      </c>
      <c r="I31" t="str">
        <f t="shared" si="1"/>
        <v>January</v>
      </c>
      <c r="J31" t="str">
        <f t="shared" si="2"/>
        <v>Q1</v>
      </c>
      <c r="K31" t="str">
        <f>TEXT(checking_account_main[[#This Row],[Date]],"mmm-yyyy")</f>
        <v>Jan-2022</v>
      </c>
      <c r="L31">
        <f>_xlfn.XLOOKUP(checking_account_main[[#This Row],[Month_Year]],checking_account_main[Month_Year],checking_account_main[Balance],"",0,-1)</f>
        <v>40978</v>
      </c>
    </row>
    <row r="32" spans="1:12" x14ac:dyDescent="0.3">
      <c r="A32" s="1">
        <v>44585</v>
      </c>
      <c r="B32" t="s">
        <v>46</v>
      </c>
      <c r="C32" t="s">
        <v>47</v>
      </c>
      <c r="D32" t="s">
        <v>29</v>
      </c>
      <c r="E32" t="s">
        <v>17</v>
      </c>
      <c r="F32" s="3">
        <v>487</v>
      </c>
      <c r="G32">
        <v>34888</v>
      </c>
      <c r="H32">
        <f t="shared" si="0"/>
        <v>2022</v>
      </c>
      <c r="I32" t="str">
        <f t="shared" si="1"/>
        <v>January</v>
      </c>
      <c r="J32" t="str">
        <f t="shared" si="2"/>
        <v>Q1</v>
      </c>
      <c r="K32" t="str">
        <f>TEXT(checking_account_main[[#This Row],[Date]],"mmm-yyyy")</f>
        <v>Jan-2022</v>
      </c>
      <c r="L32">
        <f>_xlfn.XLOOKUP(checking_account_main[[#This Row],[Month_Year]],checking_account_main[Month_Year],checking_account_main[Balance],"",0,-1)</f>
        <v>40978</v>
      </c>
    </row>
    <row r="33" spans="1:12" x14ac:dyDescent="0.3">
      <c r="A33" s="1">
        <v>44586</v>
      </c>
      <c r="B33" t="s">
        <v>48</v>
      </c>
      <c r="C33" t="s">
        <v>8</v>
      </c>
      <c r="D33" t="s">
        <v>9</v>
      </c>
      <c r="E33" t="s">
        <v>10</v>
      </c>
      <c r="F33" s="3">
        <v>1089</v>
      </c>
      <c r="G33">
        <v>35977</v>
      </c>
      <c r="H33">
        <f t="shared" si="0"/>
        <v>2022</v>
      </c>
      <c r="I33" t="str">
        <f t="shared" si="1"/>
        <v>January</v>
      </c>
      <c r="J33" t="str">
        <f t="shared" si="2"/>
        <v>Q1</v>
      </c>
      <c r="K33" t="str">
        <f>TEXT(checking_account_main[[#This Row],[Date]],"mmm-yyyy")</f>
        <v>Jan-2022</v>
      </c>
      <c r="L33">
        <f>_xlfn.XLOOKUP(checking_account_main[[#This Row],[Month_Year]],checking_account_main[Month_Year],checking_account_main[Balance],"",0,-1)</f>
        <v>40978</v>
      </c>
    </row>
    <row r="34" spans="1:12" x14ac:dyDescent="0.3">
      <c r="A34" s="1">
        <v>44587</v>
      </c>
      <c r="B34" t="s">
        <v>49</v>
      </c>
      <c r="C34" t="s">
        <v>8</v>
      </c>
      <c r="D34" t="s">
        <v>9</v>
      </c>
      <c r="E34" t="s">
        <v>10</v>
      </c>
      <c r="F34" s="3">
        <v>959</v>
      </c>
      <c r="G34">
        <v>36936</v>
      </c>
      <c r="H34">
        <f t="shared" si="0"/>
        <v>2022</v>
      </c>
      <c r="I34" t="str">
        <f t="shared" si="1"/>
        <v>January</v>
      </c>
      <c r="J34" t="str">
        <f t="shared" si="2"/>
        <v>Q1</v>
      </c>
      <c r="K34" t="str">
        <f>TEXT(checking_account_main[[#This Row],[Date]],"mmm-yyyy")</f>
        <v>Jan-2022</v>
      </c>
      <c r="L34">
        <f>_xlfn.XLOOKUP(checking_account_main[[#This Row],[Month_Year]],checking_account_main[Month_Year],checking_account_main[Balance],"",0,-1)</f>
        <v>40978</v>
      </c>
    </row>
    <row r="35" spans="1:12" x14ac:dyDescent="0.3">
      <c r="A35" s="1">
        <v>44587</v>
      </c>
      <c r="B35" t="s">
        <v>50</v>
      </c>
      <c r="C35" t="s">
        <v>47</v>
      </c>
      <c r="D35" t="s">
        <v>29</v>
      </c>
      <c r="E35" t="s">
        <v>17</v>
      </c>
      <c r="F35" s="3">
        <v>290</v>
      </c>
      <c r="G35">
        <v>36646</v>
      </c>
      <c r="H35">
        <f t="shared" si="0"/>
        <v>2022</v>
      </c>
      <c r="I35" t="str">
        <f t="shared" si="1"/>
        <v>January</v>
      </c>
      <c r="J35" t="str">
        <f t="shared" si="2"/>
        <v>Q1</v>
      </c>
      <c r="K35" t="str">
        <f>TEXT(checking_account_main[[#This Row],[Date]],"mmm-yyyy")</f>
        <v>Jan-2022</v>
      </c>
      <c r="L35">
        <f>_xlfn.XLOOKUP(checking_account_main[[#This Row],[Month_Year]],checking_account_main[Month_Year],checking_account_main[Balance],"",0,-1)</f>
        <v>40978</v>
      </c>
    </row>
    <row r="36" spans="1:12" x14ac:dyDescent="0.3">
      <c r="A36" s="1">
        <v>44588</v>
      </c>
      <c r="B36" t="s">
        <v>51</v>
      </c>
      <c r="C36" t="s">
        <v>8</v>
      </c>
      <c r="D36" t="s">
        <v>9</v>
      </c>
      <c r="E36" t="s">
        <v>10</v>
      </c>
      <c r="F36" s="3">
        <v>917</v>
      </c>
      <c r="G36">
        <v>37563</v>
      </c>
      <c r="H36">
        <f t="shared" si="0"/>
        <v>2022</v>
      </c>
      <c r="I36" t="str">
        <f t="shared" si="1"/>
        <v>January</v>
      </c>
      <c r="J36" t="str">
        <f t="shared" si="2"/>
        <v>Q1</v>
      </c>
      <c r="K36" t="str">
        <f>TEXT(checking_account_main[[#This Row],[Date]],"mmm-yyyy")</f>
        <v>Jan-2022</v>
      </c>
      <c r="L36">
        <f>_xlfn.XLOOKUP(checking_account_main[[#This Row],[Month_Year]],checking_account_main[Month_Year],checking_account_main[Balance],"",0,-1)</f>
        <v>40978</v>
      </c>
    </row>
    <row r="37" spans="1:12" x14ac:dyDescent="0.3">
      <c r="A37" s="1">
        <v>44589</v>
      </c>
      <c r="B37" t="s">
        <v>52</v>
      </c>
      <c r="C37" t="s">
        <v>8</v>
      </c>
      <c r="D37" t="s">
        <v>9</v>
      </c>
      <c r="E37" t="s">
        <v>10</v>
      </c>
      <c r="F37" s="3">
        <v>901</v>
      </c>
      <c r="G37">
        <v>38464</v>
      </c>
      <c r="H37">
        <f t="shared" si="0"/>
        <v>2022</v>
      </c>
      <c r="I37" t="str">
        <f t="shared" si="1"/>
        <v>January</v>
      </c>
      <c r="J37" t="str">
        <f t="shared" si="2"/>
        <v>Q1</v>
      </c>
      <c r="K37" t="str">
        <f>TEXT(checking_account_main[[#This Row],[Date]],"mmm-yyyy")</f>
        <v>Jan-2022</v>
      </c>
      <c r="L37">
        <f>_xlfn.XLOOKUP(checking_account_main[[#This Row],[Month_Year]],checking_account_main[Month_Year],checking_account_main[Balance],"",0,-1)</f>
        <v>40978</v>
      </c>
    </row>
    <row r="38" spans="1:12" x14ac:dyDescent="0.3">
      <c r="A38" s="1">
        <v>44590</v>
      </c>
      <c r="B38" t="s">
        <v>53</v>
      </c>
      <c r="C38" t="s">
        <v>8</v>
      </c>
      <c r="D38" t="s">
        <v>9</v>
      </c>
      <c r="E38" t="s">
        <v>10</v>
      </c>
      <c r="F38" s="3">
        <v>969</v>
      </c>
      <c r="G38">
        <v>39433</v>
      </c>
      <c r="H38">
        <f t="shared" si="0"/>
        <v>2022</v>
      </c>
      <c r="I38" t="str">
        <f t="shared" si="1"/>
        <v>January</v>
      </c>
      <c r="J38" t="str">
        <f t="shared" si="2"/>
        <v>Q1</v>
      </c>
      <c r="K38" t="str">
        <f>TEXT(checking_account_main[[#This Row],[Date]],"mmm-yyyy")</f>
        <v>Jan-2022</v>
      </c>
      <c r="L38">
        <f>_xlfn.XLOOKUP(checking_account_main[[#This Row],[Month_Year]],checking_account_main[Month_Year],checking_account_main[Balance],"",0,-1)</f>
        <v>40978</v>
      </c>
    </row>
    <row r="39" spans="1:12" x14ac:dyDescent="0.3">
      <c r="A39" s="1">
        <v>44591</v>
      </c>
      <c r="B39" t="s">
        <v>54</v>
      </c>
      <c r="C39" t="s">
        <v>8</v>
      </c>
      <c r="D39" t="s">
        <v>9</v>
      </c>
      <c r="E39" t="s">
        <v>10</v>
      </c>
      <c r="F39" s="3">
        <v>970</v>
      </c>
      <c r="G39">
        <v>40403</v>
      </c>
      <c r="H39">
        <f t="shared" si="0"/>
        <v>2022</v>
      </c>
      <c r="I39" t="str">
        <f t="shared" si="1"/>
        <v>January</v>
      </c>
      <c r="J39" t="str">
        <f t="shared" si="2"/>
        <v>Q1</v>
      </c>
      <c r="K39" t="str">
        <f>TEXT(checking_account_main[[#This Row],[Date]],"mmm-yyyy")</f>
        <v>Jan-2022</v>
      </c>
      <c r="L39">
        <f>_xlfn.XLOOKUP(checking_account_main[[#This Row],[Month_Year]],checking_account_main[Month_Year],checking_account_main[Balance],"",0,-1)</f>
        <v>40978</v>
      </c>
    </row>
    <row r="40" spans="1:12" x14ac:dyDescent="0.3">
      <c r="A40" s="1">
        <v>44591</v>
      </c>
      <c r="B40" t="s">
        <v>55</v>
      </c>
      <c r="C40" t="s">
        <v>22</v>
      </c>
      <c r="D40" t="s">
        <v>16</v>
      </c>
      <c r="E40" t="s">
        <v>17</v>
      </c>
      <c r="F40" s="3">
        <v>314</v>
      </c>
      <c r="G40">
        <v>40089</v>
      </c>
      <c r="H40">
        <f t="shared" si="0"/>
        <v>2022</v>
      </c>
      <c r="I40" t="str">
        <f t="shared" si="1"/>
        <v>January</v>
      </c>
      <c r="J40" t="str">
        <f t="shared" si="2"/>
        <v>Q1</v>
      </c>
      <c r="K40" t="str">
        <f>TEXT(checking_account_main[[#This Row],[Date]],"mmm-yyyy")</f>
        <v>Jan-2022</v>
      </c>
      <c r="L40">
        <f>_xlfn.XLOOKUP(checking_account_main[[#This Row],[Month_Year]],checking_account_main[Month_Year],checking_account_main[Balance],"",0,-1)</f>
        <v>40978</v>
      </c>
    </row>
    <row r="41" spans="1:12" x14ac:dyDescent="0.3">
      <c r="A41" s="1">
        <v>44592</v>
      </c>
      <c r="B41" t="s">
        <v>56</v>
      </c>
      <c r="C41" t="s">
        <v>8</v>
      </c>
      <c r="D41" t="s">
        <v>9</v>
      </c>
      <c r="E41" t="s">
        <v>10</v>
      </c>
      <c r="F41" s="3">
        <v>889</v>
      </c>
      <c r="G41">
        <v>40978</v>
      </c>
      <c r="H41">
        <f t="shared" si="0"/>
        <v>2022</v>
      </c>
      <c r="I41" t="str">
        <f t="shared" si="1"/>
        <v>January</v>
      </c>
      <c r="J41" t="str">
        <f t="shared" si="2"/>
        <v>Q1</v>
      </c>
      <c r="K41" t="str">
        <f>TEXT(checking_account_main[[#This Row],[Date]],"mmm-yyyy")</f>
        <v>Jan-2022</v>
      </c>
      <c r="L41">
        <f>_xlfn.XLOOKUP(checking_account_main[[#This Row],[Month_Year]],checking_account_main[Month_Year],checking_account_main[Balance],"",0,-1)</f>
        <v>40978</v>
      </c>
    </row>
    <row r="42" spans="1:12" x14ac:dyDescent="0.3">
      <c r="A42" s="1">
        <v>44593</v>
      </c>
      <c r="B42" t="s">
        <v>57</v>
      </c>
      <c r="C42" t="s">
        <v>8</v>
      </c>
      <c r="D42" t="s">
        <v>9</v>
      </c>
      <c r="E42" t="s">
        <v>10</v>
      </c>
      <c r="F42" s="3">
        <v>907</v>
      </c>
      <c r="G42">
        <v>41885</v>
      </c>
      <c r="H42">
        <f t="shared" si="0"/>
        <v>2022</v>
      </c>
      <c r="I42" t="str">
        <f t="shared" si="1"/>
        <v>February</v>
      </c>
      <c r="J42" t="str">
        <f t="shared" si="2"/>
        <v>Q1</v>
      </c>
      <c r="K42" t="str">
        <f>TEXT(checking_account_main[[#This Row],[Date]],"mmm-yyyy")</f>
        <v>Feb-2022</v>
      </c>
      <c r="L42">
        <f>_xlfn.XLOOKUP(checking_account_main[[#This Row],[Month_Year]],checking_account_main[Month_Year],checking_account_main[Balance],"",0,-1)</f>
        <v>65540</v>
      </c>
    </row>
    <row r="43" spans="1:12" x14ac:dyDescent="0.3">
      <c r="A43" s="1">
        <v>44594</v>
      </c>
      <c r="B43" t="s">
        <v>58</v>
      </c>
      <c r="C43" t="s">
        <v>8</v>
      </c>
      <c r="D43" t="s">
        <v>9</v>
      </c>
      <c r="E43" t="s">
        <v>10</v>
      </c>
      <c r="F43" s="3">
        <v>1066</v>
      </c>
      <c r="G43">
        <v>42951</v>
      </c>
      <c r="H43">
        <f t="shared" si="0"/>
        <v>2022</v>
      </c>
      <c r="I43" t="str">
        <f t="shared" si="1"/>
        <v>February</v>
      </c>
      <c r="J43" t="str">
        <f t="shared" si="2"/>
        <v>Q1</v>
      </c>
      <c r="K43" t="str">
        <f>TEXT(checking_account_main[[#This Row],[Date]],"mmm-yyyy")</f>
        <v>Feb-2022</v>
      </c>
      <c r="L43">
        <f>_xlfn.XLOOKUP(checking_account_main[[#This Row],[Month_Year]],checking_account_main[Month_Year],checking_account_main[Balance],"",0,-1)</f>
        <v>65540</v>
      </c>
    </row>
    <row r="44" spans="1:12" x14ac:dyDescent="0.3">
      <c r="A44" s="1">
        <v>44595</v>
      </c>
      <c r="B44" t="s">
        <v>59</v>
      </c>
      <c r="C44" t="s">
        <v>8</v>
      </c>
      <c r="D44" t="s">
        <v>9</v>
      </c>
      <c r="E44" t="s">
        <v>10</v>
      </c>
      <c r="F44" s="3">
        <v>1109</v>
      </c>
      <c r="G44">
        <v>44060</v>
      </c>
      <c r="H44">
        <f t="shared" si="0"/>
        <v>2022</v>
      </c>
      <c r="I44" t="str">
        <f t="shared" si="1"/>
        <v>February</v>
      </c>
      <c r="J44" t="str">
        <f t="shared" si="2"/>
        <v>Q1</v>
      </c>
      <c r="K44" t="str">
        <f>TEXT(checking_account_main[[#This Row],[Date]],"mmm-yyyy")</f>
        <v>Feb-2022</v>
      </c>
      <c r="L44">
        <f>_xlfn.XLOOKUP(checking_account_main[[#This Row],[Month_Year]],checking_account_main[Month_Year],checking_account_main[Balance],"",0,-1)</f>
        <v>65540</v>
      </c>
    </row>
    <row r="45" spans="1:12" x14ac:dyDescent="0.3">
      <c r="A45" s="1">
        <v>44596</v>
      </c>
      <c r="B45" t="s">
        <v>60</v>
      </c>
      <c r="C45" t="s">
        <v>8</v>
      </c>
      <c r="D45" t="s">
        <v>9</v>
      </c>
      <c r="E45" t="s">
        <v>10</v>
      </c>
      <c r="F45" s="3">
        <v>887</v>
      </c>
      <c r="G45">
        <v>44947</v>
      </c>
      <c r="H45">
        <f t="shared" si="0"/>
        <v>2022</v>
      </c>
      <c r="I45" t="str">
        <f t="shared" si="1"/>
        <v>February</v>
      </c>
      <c r="J45" t="str">
        <f t="shared" si="2"/>
        <v>Q1</v>
      </c>
      <c r="K45" t="str">
        <f>TEXT(checking_account_main[[#This Row],[Date]],"mmm-yyyy")</f>
        <v>Feb-2022</v>
      </c>
      <c r="L45">
        <f>_xlfn.XLOOKUP(checking_account_main[[#This Row],[Month_Year]],checking_account_main[Month_Year],checking_account_main[Balance],"",0,-1)</f>
        <v>65540</v>
      </c>
    </row>
    <row r="46" spans="1:12" x14ac:dyDescent="0.3">
      <c r="A46" s="1">
        <v>44597</v>
      </c>
      <c r="B46" t="s">
        <v>61</v>
      </c>
      <c r="C46" t="s">
        <v>8</v>
      </c>
      <c r="D46" t="s">
        <v>9</v>
      </c>
      <c r="E46" t="s">
        <v>10</v>
      </c>
      <c r="F46" s="3">
        <v>740</v>
      </c>
      <c r="G46">
        <v>45687</v>
      </c>
      <c r="H46">
        <f t="shared" si="0"/>
        <v>2022</v>
      </c>
      <c r="I46" t="str">
        <f t="shared" si="1"/>
        <v>February</v>
      </c>
      <c r="J46" t="str">
        <f t="shared" si="2"/>
        <v>Q1</v>
      </c>
      <c r="K46" t="str">
        <f>TEXT(checking_account_main[[#This Row],[Date]],"mmm-yyyy")</f>
        <v>Feb-2022</v>
      </c>
      <c r="L46">
        <f>_xlfn.XLOOKUP(checking_account_main[[#This Row],[Month_Year]],checking_account_main[Month_Year],checking_account_main[Balance],"",0,-1)</f>
        <v>65540</v>
      </c>
    </row>
    <row r="47" spans="1:12" x14ac:dyDescent="0.3">
      <c r="A47" s="1">
        <v>44598</v>
      </c>
      <c r="B47" t="s">
        <v>62</v>
      </c>
      <c r="C47" t="s">
        <v>8</v>
      </c>
      <c r="D47" t="s">
        <v>9</v>
      </c>
      <c r="E47" t="s">
        <v>10</v>
      </c>
      <c r="F47" s="3">
        <v>1000</v>
      </c>
      <c r="G47">
        <v>46687</v>
      </c>
      <c r="H47">
        <f t="shared" si="0"/>
        <v>2022</v>
      </c>
      <c r="I47" t="str">
        <f t="shared" si="1"/>
        <v>February</v>
      </c>
      <c r="J47" t="str">
        <f t="shared" si="2"/>
        <v>Q1</v>
      </c>
      <c r="K47" t="str">
        <f>TEXT(checking_account_main[[#This Row],[Date]],"mmm-yyyy")</f>
        <v>Feb-2022</v>
      </c>
      <c r="L47">
        <f>_xlfn.XLOOKUP(checking_account_main[[#This Row],[Month_Year]],checking_account_main[Month_Year],checking_account_main[Balance],"",0,-1)</f>
        <v>65540</v>
      </c>
    </row>
    <row r="48" spans="1:12" x14ac:dyDescent="0.3">
      <c r="A48" s="1">
        <v>44598</v>
      </c>
      <c r="B48" t="s">
        <v>63</v>
      </c>
      <c r="C48" t="s">
        <v>28</v>
      </c>
      <c r="D48" t="s">
        <v>29</v>
      </c>
      <c r="E48" t="s">
        <v>17</v>
      </c>
      <c r="F48" s="3">
        <v>426</v>
      </c>
      <c r="G48">
        <v>46261</v>
      </c>
      <c r="H48">
        <f t="shared" si="0"/>
        <v>2022</v>
      </c>
      <c r="I48" t="str">
        <f t="shared" si="1"/>
        <v>February</v>
      </c>
      <c r="J48" t="str">
        <f t="shared" si="2"/>
        <v>Q1</v>
      </c>
      <c r="K48" t="str">
        <f>TEXT(checking_account_main[[#This Row],[Date]],"mmm-yyyy")</f>
        <v>Feb-2022</v>
      </c>
      <c r="L48">
        <f>_xlfn.XLOOKUP(checking_account_main[[#This Row],[Month_Year]],checking_account_main[Month_Year],checking_account_main[Balance],"",0,-1)</f>
        <v>65540</v>
      </c>
    </row>
    <row r="49" spans="1:12" x14ac:dyDescent="0.3">
      <c r="A49" s="1">
        <v>44599</v>
      </c>
      <c r="B49" t="s">
        <v>64</v>
      </c>
      <c r="C49" t="s">
        <v>8</v>
      </c>
      <c r="D49" t="s">
        <v>9</v>
      </c>
      <c r="E49" t="s">
        <v>10</v>
      </c>
      <c r="F49" s="3">
        <v>1043</v>
      </c>
      <c r="G49">
        <v>47304</v>
      </c>
      <c r="H49">
        <f t="shared" si="0"/>
        <v>2022</v>
      </c>
      <c r="I49" t="str">
        <f t="shared" si="1"/>
        <v>February</v>
      </c>
      <c r="J49" t="str">
        <f t="shared" si="2"/>
        <v>Q1</v>
      </c>
      <c r="K49" t="str">
        <f>TEXT(checking_account_main[[#This Row],[Date]],"mmm-yyyy")</f>
        <v>Feb-2022</v>
      </c>
      <c r="L49">
        <f>_xlfn.XLOOKUP(checking_account_main[[#This Row],[Month_Year]],checking_account_main[Month_Year],checking_account_main[Balance],"",0,-1)</f>
        <v>65540</v>
      </c>
    </row>
    <row r="50" spans="1:12" x14ac:dyDescent="0.3">
      <c r="A50" s="1">
        <v>44600</v>
      </c>
      <c r="B50" t="s">
        <v>65</v>
      </c>
      <c r="C50" t="s">
        <v>8</v>
      </c>
      <c r="D50" t="s">
        <v>9</v>
      </c>
      <c r="E50" t="s">
        <v>10</v>
      </c>
      <c r="F50" s="3">
        <v>835</v>
      </c>
      <c r="G50">
        <v>48139</v>
      </c>
      <c r="H50">
        <f t="shared" si="0"/>
        <v>2022</v>
      </c>
      <c r="I50" t="str">
        <f t="shared" si="1"/>
        <v>February</v>
      </c>
      <c r="J50" t="str">
        <f t="shared" si="2"/>
        <v>Q1</v>
      </c>
      <c r="K50" t="str">
        <f>TEXT(checking_account_main[[#This Row],[Date]],"mmm-yyyy")</f>
        <v>Feb-2022</v>
      </c>
      <c r="L50">
        <f>_xlfn.XLOOKUP(checking_account_main[[#This Row],[Month_Year]],checking_account_main[Month_Year],checking_account_main[Balance],"",0,-1)</f>
        <v>65540</v>
      </c>
    </row>
    <row r="51" spans="1:12" x14ac:dyDescent="0.3">
      <c r="A51" s="1">
        <v>44600</v>
      </c>
      <c r="B51" t="s">
        <v>66</v>
      </c>
      <c r="C51" t="s">
        <v>15</v>
      </c>
      <c r="D51" t="s">
        <v>16</v>
      </c>
      <c r="E51" t="s">
        <v>17</v>
      </c>
      <c r="F51" s="3">
        <v>238</v>
      </c>
      <c r="G51">
        <v>47901</v>
      </c>
      <c r="H51">
        <f t="shared" si="0"/>
        <v>2022</v>
      </c>
      <c r="I51" t="str">
        <f t="shared" si="1"/>
        <v>February</v>
      </c>
      <c r="J51" t="str">
        <f t="shared" si="2"/>
        <v>Q1</v>
      </c>
      <c r="K51" t="str">
        <f>TEXT(checking_account_main[[#This Row],[Date]],"mmm-yyyy")</f>
        <v>Feb-2022</v>
      </c>
      <c r="L51">
        <f>_xlfn.XLOOKUP(checking_account_main[[#This Row],[Month_Year]],checking_account_main[Month_Year],checking_account_main[Balance],"",0,-1)</f>
        <v>65540</v>
      </c>
    </row>
    <row r="52" spans="1:12" x14ac:dyDescent="0.3">
      <c r="A52" s="1">
        <v>44601</v>
      </c>
      <c r="B52" t="s">
        <v>67</v>
      </c>
      <c r="C52" t="s">
        <v>8</v>
      </c>
      <c r="D52" t="s">
        <v>9</v>
      </c>
      <c r="E52" t="s">
        <v>10</v>
      </c>
      <c r="F52" s="3">
        <v>780</v>
      </c>
      <c r="G52">
        <v>48681</v>
      </c>
      <c r="H52">
        <f t="shared" si="0"/>
        <v>2022</v>
      </c>
      <c r="I52" t="str">
        <f t="shared" si="1"/>
        <v>February</v>
      </c>
      <c r="J52" t="str">
        <f t="shared" si="2"/>
        <v>Q1</v>
      </c>
      <c r="K52" t="str">
        <f>TEXT(checking_account_main[[#This Row],[Date]],"mmm-yyyy")</f>
        <v>Feb-2022</v>
      </c>
      <c r="L52">
        <f>_xlfn.XLOOKUP(checking_account_main[[#This Row],[Month_Year]],checking_account_main[Month_Year],checking_account_main[Balance],"",0,-1)</f>
        <v>65540</v>
      </c>
    </row>
    <row r="53" spans="1:12" x14ac:dyDescent="0.3">
      <c r="A53" s="1">
        <v>44602</v>
      </c>
      <c r="B53" t="s">
        <v>68</v>
      </c>
      <c r="C53" t="s">
        <v>8</v>
      </c>
      <c r="D53" t="s">
        <v>9</v>
      </c>
      <c r="E53" t="s">
        <v>10</v>
      </c>
      <c r="F53" s="3">
        <v>1118</v>
      </c>
      <c r="G53">
        <v>49799</v>
      </c>
      <c r="H53">
        <f t="shared" si="0"/>
        <v>2022</v>
      </c>
      <c r="I53" t="str">
        <f t="shared" si="1"/>
        <v>February</v>
      </c>
      <c r="J53" t="str">
        <f t="shared" si="2"/>
        <v>Q1</v>
      </c>
      <c r="K53" t="str">
        <f>TEXT(checking_account_main[[#This Row],[Date]],"mmm-yyyy")</f>
        <v>Feb-2022</v>
      </c>
      <c r="L53">
        <f>_xlfn.XLOOKUP(checking_account_main[[#This Row],[Month_Year]],checking_account_main[Month_Year],checking_account_main[Balance],"",0,-1)</f>
        <v>65540</v>
      </c>
    </row>
    <row r="54" spans="1:12" x14ac:dyDescent="0.3">
      <c r="A54" s="1">
        <v>44603</v>
      </c>
      <c r="B54" t="s">
        <v>69</v>
      </c>
      <c r="C54" t="s">
        <v>8</v>
      </c>
      <c r="D54" t="s">
        <v>9</v>
      </c>
      <c r="E54" t="s">
        <v>10</v>
      </c>
      <c r="F54" s="3">
        <v>960</v>
      </c>
      <c r="G54">
        <v>50759</v>
      </c>
      <c r="H54">
        <f t="shared" si="0"/>
        <v>2022</v>
      </c>
      <c r="I54" t="str">
        <f t="shared" si="1"/>
        <v>February</v>
      </c>
      <c r="J54" t="str">
        <f t="shared" si="2"/>
        <v>Q1</v>
      </c>
      <c r="K54" t="str">
        <f>TEXT(checking_account_main[[#This Row],[Date]],"mmm-yyyy")</f>
        <v>Feb-2022</v>
      </c>
      <c r="L54">
        <f>_xlfn.XLOOKUP(checking_account_main[[#This Row],[Month_Year]],checking_account_main[Month_Year],checking_account_main[Balance],"",0,-1)</f>
        <v>65540</v>
      </c>
    </row>
    <row r="55" spans="1:12" x14ac:dyDescent="0.3">
      <c r="A55" s="1">
        <v>44604</v>
      </c>
      <c r="B55" t="s">
        <v>70</v>
      </c>
      <c r="C55" t="s">
        <v>8</v>
      </c>
      <c r="D55" t="s">
        <v>9</v>
      </c>
      <c r="E55" t="s">
        <v>10</v>
      </c>
      <c r="F55" s="3">
        <v>740</v>
      </c>
      <c r="G55">
        <v>51499</v>
      </c>
      <c r="H55">
        <f t="shared" si="0"/>
        <v>2022</v>
      </c>
      <c r="I55" t="str">
        <f t="shared" si="1"/>
        <v>February</v>
      </c>
      <c r="J55" t="str">
        <f t="shared" si="2"/>
        <v>Q1</v>
      </c>
      <c r="K55" t="str">
        <f>TEXT(checking_account_main[[#This Row],[Date]],"mmm-yyyy")</f>
        <v>Feb-2022</v>
      </c>
      <c r="L55">
        <f>_xlfn.XLOOKUP(checking_account_main[[#This Row],[Month_Year]],checking_account_main[Month_Year],checking_account_main[Balance],"",0,-1)</f>
        <v>65540</v>
      </c>
    </row>
    <row r="56" spans="1:12" x14ac:dyDescent="0.3">
      <c r="A56" s="1">
        <v>44605</v>
      </c>
      <c r="B56" t="s">
        <v>71</v>
      </c>
      <c r="C56" t="s">
        <v>8</v>
      </c>
      <c r="D56" t="s">
        <v>9</v>
      </c>
      <c r="E56" t="s">
        <v>10</v>
      </c>
      <c r="F56" s="3">
        <v>900</v>
      </c>
      <c r="G56">
        <v>52399</v>
      </c>
      <c r="H56">
        <f t="shared" si="0"/>
        <v>2022</v>
      </c>
      <c r="I56" t="str">
        <f t="shared" si="1"/>
        <v>February</v>
      </c>
      <c r="J56" t="str">
        <f t="shared" si="2"/>
        <v>Q1</v>
      </c>
      <c r="K56" t="str">
        <f>TEXT(checking_account_main[[#This Row],[Date]],"mmm-yyyy")</f>
        <v>Feb-2022</v>
      </c>
      <c r="L56">
        <f>_xlfn.XLOOKUP(checking_account_main[[#This Row],[Month_Year]],checking_account_main[Month_Year],checking_account_main[Balance],"",0,-1)</f>
        <v>65540</v>
      </c>
    </row>
    <row r="57" spans="1:12" x14ac:dyDescent="0.3">
      <c r="A57" s="1">
        <v>44606</v>
      </c>
      <c r="B57" t="s">
        <v>72</v>
      </c>
      <c r="C57" t="s">
        <v>8</v>
      </c>
      <c r="D57" t="s">
        <v>9</v>
      </c>
      <c r="E57" t="s">
        <v>10</v>
      </c>
      <c r="F57" s="3">
        <v>1117</v>
      </c>
      <c r="G57">
        <v>53516</v>
      </c>
      <c r="H57">
        <f t="shared" si="0"/>
        <v>2022</v>
      </c>
      <c r="I57" t="str">
        <f t="shared" si="1"/>
        <v>February</v>
      </c>
      <c r="J57" t="str">
        <f t="shared" si="2"/>
        <v>Q1</v>
      </c>
      <c r="K57" t="str">
        <f>TEXT(checking_account_main[[#This Row],[Date]],"mmm-yyyy")</f>
        <v>Feb-2022</v>
      </c>
      <c r="L57">
        <f>_xlfn.XLOOKUP(checking_account_main[[#This Row],[Month_Year]],checking_account_main[Month_Year],checking_account_main[Balance],"",0,-1)</f>
        <v>65540</v>
      </c>
    </row>
    <row r="58" spans="1:12" x14ac:dyDescent="0.3">
      <c r="A58" s="1">
        <v>44606</v>
      </c>
      <c r="B58" t="s">
        <v>73</v>
      </c>
      <c r="C58" t="s">
        <v>74</v>
      </c>
      <c r="D58" t="s">
        <v>16</v>
      </c>
      <c r="E58" t="s">
        <v>17</v>
      </c>
      <c r="F58" s="3">
        <v>161</v>
      </c>
      <c r="G58">
        <v>53355</v>
      </c>
      <c r="H58">
        <f t="shared" si="0"/>
        <v>2022</v>
      </c>
      <c r="I58" t="str">
        <f t="shared" si="1"/>
        <v>February</v>
      </c>
      <c r="J58" t="str">
        <f t="shared" si="2"/>
        <v>Q1</v>
      </c>
      <c r="K58" t="str">
        <f>TEXT(checking_account_main[[#This Row],[Date]],"mmm-yyyy")</f>
        <v>Feb-2022</v>
      </c>
      <c r="L58">
        <f>_xlfn.XLOOKUP(checking_account_main[[#This Row],[Month_Year]],checking_account_main[Month_Year],checking_account_main[Balance],"",0,-1)</f>
        <v>65540</v>
      </c>
    </row>
    <row r="59" spans="1:12" x14ac:dyDescent="0.3">
      <c r="A59" s="1">
        <v>44607</v>
      </c>
      <c r="B59" t="s">
        <v>75</v>
      </c>
      <c r="C59" t="s">
        <v>8</v>
      </c>
      <c r="D59" t="s">
        <v>9</v>
      </c>
      <c r="E59" t="s">
        <v>10</v>
      </c>
      <c r="F59" s="3">
        <v>798</v>
      </c>
      <c r="G59">
        <v>54153</v>
      </c>
      <c r="H59">
        <f t="shared" si="0"/>
        <v>2022</v>
      </c>
      <c r="I59" t="str">
        <f t="shared" si="1"/>
        <v>February</v>
      </c>
      <c r="J59" t="str">
        <f t="shared" si="2"/>
        <v>Q1</v>
      </c>
      <c r="K59" t="str">
        <f>TEXT(checking_account_main[[#This Row],[Date]],"mmm-yyyy")</f>
        <v>Feb-2022</v>
      </c>
      <c r="L59">
        <f>_xlfn.XLOOKUP(checking_account_main[[#This Row],[Month_Year]],checking_account_main[Month_Year],checking_account_main[Balance],"",0,-1)</f>
        <v>65540</v>
      </c>
    </row>
    <row r="60" spans="1:12" x14ac:dyDescent="0.3">
      <c r="A60" s="1">
        <v>44608</v>
      </c>
      <c r="B60" t="s">
        <v>76</v>
      </c>
      <c r="C60" t="s">
        <v>8</v>
      </c>
      <c r="D60" t="s">
        <v>9</v>
      </c>
      <c r="E60" t="s">
        <v>10</v>
      </c>
      <c r="F60" s="3">
        <v>913</v>
      </c>
      <c r="G60">
        <v>55066</v>
      </c>
      <c r="H60">
        <f t="shared" si="0"/>
        <v>2022</v>
      </c>
      <c r="I60" t="str">
        <f t="shared" si="1"/>
        <v>February</v>
      </c>
      <c r="J60" t="str">
        <f t="shared" si="2"/>
        <v>Q1</v>
      </c>
      <c r="K60" t="str">
        <f>TEXT(checking_account_main[[#This Row],[Date]],"mmm-yyyy")</f>
        <v>Feb-2022</v>
      </c>
      <c r="L60">
        <f>_xlfn.XLOOKUP(checking_account_main[[#This Row],[Month_Year]],checking_account_main[Month_Year],checking_account_main[Balance],"",0,-1)</f>
        <v>65540</v>
      </c>
    </row>
    <row r="61" spans="1:12" x14ac:dyDescent="0.3">
      <c r="A61" s="1">
        <v>44609</v>
      </c>
      <c r="B61" t="s">
        <v>77</v>
      </c>
      <c r="C61" t="s">
        <v>8</v>
      </c>
      <c r="D61" t="s">
        <v>9</v>
      </c>
      <c r="E61" t="s">
        <v>10</v>
      </c>
      <c r="F61" s="3">
        <v>1148</v>
      </c>
      <c r="G61">
        <v>56214</v>
      </c>
      <c r="H61">
        <f t="shared" si="0"/>
        <v>2022</v>
      </c>
      <c r="I61" t="str">
        <f t="shared" si="1"/>
        <v>February</v>
      </c>
      <c r="J61" t="str">
        <f t="shared" si="2"/>
        <v>Q1</v>
      </c>
      <c r="K61" t="str">
        <f>TEXT(checking_account_main[[#This Row],[Date]],"mmm-yyyy")</f>
        <v>Feb-2022</v>
      </c>
      <c r="L61">
        <f>_xlfn.XLOOKUP(checking_account_main[[#This Row],[Month_Year]],checking_account_main[Month_Year],checking_account_main[Balance],"",0,-1)</f>
        <v>65540</v>
      </c>
    </row>
    <row r="62" spans="1:12" x14ac:dyDescent="0.3">
      <c r="A62" s="1">
        <v>44610</v>
      </c>
      <c r="B62" t="s">
        <v>78</v>
      </c>
      <c r="C62" t="s">
        <v>8</v>
      </c>
      <c r="D62" t="s">
        <v>9</v>
      </c>
      <c r="E62" t="s">
        <v>10</v>
      </c>
      <c r="F62" s="3">
        <v>1130</v>
      </c>
      <c r="G62">
        <v>57344</v>
      </c>
      <c r="H62">
        <f t="shared" si="0"/>
        <v>2022</v>
      </c>
      <c r="I62" t="str">
        <f t="shared" si="1"/>
        <v>February</v>
      </c>
      <c r="J62" t="str">
        <f t="shared" si="2"/>
        <v>Q1</v>
      </c>
      <c r="K62" t="str">
        <f>TEXT(checking_account_main[[#This Row],[Date]],"mmm-yyyy")</f>
        <v>Feb-2022</v>
      </c>
      <c r="L62">
        <f>_xlfn.XLOOKUP(checking_account_main[[#This Row],[Month_Year]],checking_account_main[Month_Year],checking_account_main[Balance],"",0,-1)</f>
        <v>65540</v>
      </c>
    </row>
    <row r="63" spans="1:12" x14ac:dyDescent="0.3">
      <c r="A63" s="1">
        <v>44611</v>
      </c>
      <c r="B63" t="s">
        <v>79</v>
      </c>
      <c r="C63" t="s">
        <v>8</v>
      </c>
      <c r="D63" t="s">
        <v>9</v>
      </c>
      <c r="E63" t="s">
        <v>10</v>
      </c>
      <c r="F63" s="3">
        <v>956</v>
      </c>
      <c r="G63">
        <v>58300</v>
      </c>
      <c r="H63">
        <f t="shared" si="0"/>
        <v>2022</v>
      </c>
      <c r="I63" t="str">
        <f t="shared" si="1"/>
        <v>February</v>
      </c>
      <c r="J63" t="str">
        <f t="shared" si="2"/>
        <v>Q1</v>
      </c>
      <c r="K63" t="str">
        <f>TEXT(checking_account_main[[#This Row],[Date]],"mmm-yyyy")</f>
        <v>Feb-2022</v>
      </c>
      <c r="L63">
        <f>_xlfn.XLOOKUP(checking_account_main[[#This Row],[Month_Year]],checking_account_main[Month_Year],checking_account_main[Balance],"",0,-1)</f>
        <v>65540</v>
      </c>
    </row>
    <row r="64" spans="1:12" x14ac:dyDescent="0.3">
      <c r="A64" s="1">
        <v>44612</v>
      </c>
      <c r="B64" t="s">
        <v>80</v>
      </c>
      <c r="C64" t="s">
        <v>8</v>
      </c>
      <c r="D64" t="s">
        <v>9</v>
      </c>
      <c r="E64" t="s">
        <v>10</v>
      </c>
      <c r="F64" s="3">
        <v>954</v>
      </c>
      <c r="G64">
        <v>59254</v>
      </c>
      <c r="H64">
        <f t="shared" si="0"/>
        <v>2022</v>
      </c>
      <c r="I64" t="str">
        <f t="shared" si="1"/>
        <v>February</v>
      </c>
      <c r="J64" t="str">
        <f t="shared" si="2"/>
        <v>Q1</v>
      </c>
      <c r="K64" t="str">
        <f>TEXT(checking_account_main[[#This Row],[Date]],"mmm-yyyy")</f>
        <v>Feb-2022</v>
      </c>
      <c r="L64">
        <f>_xlfn.XLOOKUP(checking_account_main[[#This Row],[Month_Year]],checking_account_main[Month_Year],checking_account_main[Balance],"",0,-1)</f>
        <v>65540</v>
      </c>
    </row>
    <row r="65" spans="1:12" x14ac:dyDescent="0.3">
      <c r="A65" s="1">
        <v>44613</v>
      </c>
      <c r="B65" t="s">
        <v>81</v>
      </c>
      <c r="C65" t="s">
        <v>8</v>
      </c>
      <c r="D65" t="s">
        <v>9</v>
      </c>
      <c r="E65" t="s">
        <v>10</v>
      </c>
      <c r="F65" s="3">
        <v>982</v>
      </c>
      <c r="G65">
        <v>60236</v>
      </c>
      <c r="H65">
        <f t="shared" si="0"/>
        <v>2022</v>
      </c>
      <c r="I65" t="str">
        <f t="shared" si="1"/>
        <v>February</v>
      </c>
      <c r="J65" t="str">
        <f t="shared" si="2"/>
        <v>Q1</v>
      </c>
      <c r="K65" t="str">
        <f>TEXT(checking_account_main[[#This Row],[Date]],"mmm-yyyy")</f>
        <v>Feb-2022</v>
      </c>
      <c r="L65">
        <f>_xlfn.XLOOKUP(checking_account_main[[#This Row],[Month_Year]],checking_account_main[Month_Year],checking_account_main[Balance],"",0,-1)</f>
        <v>65540</v>
      </c>
    </row>
    <row r="66" spans="1:12" x14ac:dyDescent="0.3">
      <c r="A66" s="1">
        <v>44614</v>
      </c>
      <c r="B66" t="s">
        <v>82</v>
      </c>
      <c r="C66" t="s">
        <v>8</v>
      </c>
      <c r="D66" t="s">
        <v>9</v>
      </c>
      <c r="E66" t="s">
        <v>10</v>
      </c>
      <c r="F66" s="3">
        <v>714</v>
      </c>
      <c r="G66">
        <v>60950</v>
      </c>
      <c r="H66">
        <f t="shared" ref="H66:H129" si="3">YEAR(A66)</f>
        <v>2022</v>
      </c>
      <c r="I66" t="str">
        <f t="shared" ref="I66:I129" si="4">TEXT(A66,"mmmm")</f>
        <v>February</v>
      </c>
      <c r="J66" t="str">
        <f t="shared" ref="J66:J129" si="5">"Q"&amp;ROUNDUP(MONTH(A66)/3,0)</f>
        <v>Q1</v>
      </c>
      <c r="K66" t="str">
        <f>TEXT(checking_account_main[[#This Row],[Date]],"mmm-yyyy")</f>
        <v>Feb-2022</v>
      </c>
      <c r="L66">
        <f>_xlfn.XLOOKUP(checking_account_main[[#This Row],[Month_Year]],checking_account_main[Month_Year],checking_account_main[Balance],"",0,-1)</f>
        <v>65540</v>
      </c>
    </row>
    <row r="67" spans="1:12" x14ac:dyDescent="0.3">
      <c r="A67" s="1">
        <v>44614</v>
      </c>
      <c r="B67" t="s">
        <v>83</v>
      </c>
      <c r="C67" t="s">
        <v>74</v>
      </c>
      <c r="D67" t="s">
        <v>16</v>
      </c>
      <c r="E67" t="s">
        <v>17</v>
      </c>
      <c r="F67" s="3">
        <v>479</v>
      </c>
      <c r="G67">
        <v>60471</v>
      </c>
      <c r="H67">
        <f t="shared" si="3"/>
        <v>2022</v>
      </c>
      <c r="I67" t="str">
        <f t="shared" si="4"/>
        <v>February</v>
      </c>
      <c r="J67" t="str">
        <f t="shared" si="5"/>
        <v>Q1</v>
      </c>
      <c r="K67" t="str">
        <f>TEXT(checking_account_main[[#This Row],[Date]],"mmm-yyyy")</f>
        <v>Feb-2022</v>
      </c>
      <c r="L67">
        <f>_xlfn.XLOOKUP(checking_account_main[[#This Row],[Month_Year]],checking_account_main[Month_Year],checking_account_main[Balance],"",0,-1)</f>
        <v>65540</v>
      </c>
    </row>
    <row r="68" spans="1:12" x14ac:dyDescent="0.3">
      <c r="A68" s="1">
        <v>44615</v>
      </c>
      <c r="B68" t="s">
        <v>84</v>
      </c>
      <c r="C68" t="s">
        <v>8</v>
      </c>
      <c r="D68" t="s">
        <v>9</v>
      </c>
      <c r="E68" t="s">
        <v>10</v>
      </c>
      <c r="F68" s="3">
        <v>878</v>
      </c>
      <c r="G68">
        <v>61349</v>
      </c>
      <c r="H68">
        <f t="shared" si="3"/>
        <v>2022</v>
      </c>
      <c r="I68" t="str">
        <f t="shared" si="4"/>
        <v>February</v>
      </c>
      <c r="J68" t="str">
        <f t="shared" si="5"/>
        <v>Q1</v>
      </c>
      <c r="K68" t="str">
        <f>TEXT(checking_account_main[[#This Row],[Date]],"mmm-yyyy")</f>
        <v>Feb-2022</v>
      </c>
      <c r="L68">
        <f>_xlfn.XLOOKUP(checking_account_main[[#This Row],[Month_Year]],checking_account_main[Month_Year],checking_account_main[Balance],"",0,-1)</f>
        <v>65540</v>
      </c>
    </row>
    <row r="69" spans="1:12" x14ac:dyDescent="0.3">
      <c r="A69" s="1">
        <v>44615</v>
      </c>
      <c r="B69" t="s">
        <v>85</v>
      </c>
      <c r="C69" t="s">
        <v>28</v>
      </c>
      <c r="D69" t="s">
        <v>29</v>
      </c>
      <c r="E69" t="s">
        <v>17</v>
      </c>
      <c r="F69" s="3">
        <v>330</v>
      </c>
      <c r="G69">
        <v>61019</v>
      </c>
      <c r="H69">
        <f t="shared" si="3"/>
        <v>2022</v>
      </c>
      <c r="I69" t="str">
        <f t="shared" si="4"/>
        <v>February</v>
      </c>
      <c r="J69" t="str">
        <f t="shared" si="5"/>
        <v>Q1</v>
      </c>
      <c r="K69" t="str">
        <f>TEXT(checking_account_main[[#This Row],[Date]],"mmm-yyyy")</f>
        <v>Feb-2022</v>
      </c>
      <c r="L69">
        <f>_xlfn.XLOOKUP(checking_account_main[[#This Row],[Month_Year]],checking_account_main[Month_Year],checking_account_main[Balance],"",0,-1)</f>
        <v>65540</v>
      </c>
    </row>
    <row r="70" spans="1:12" x14ac:dyDescent="0.3">
      <c r="A70" s="1">
        <v>44616</v>
      </c>
      <c r="B70" t="s">
        <v>86</v>
      </c>
      <c r="C70" t="s">
        <v>8</v>
      </c>
      <c r="D70" t="s">
        <v>9</v>
      </c>
      <c r="E70" t="s">
        <v>10</v>
      </c>
      <c r="F70" s="3">
        <v>751</v>
      </c>
      <c r="G70">
        <v>61770</v>
      </c>
      <c r="H70">
        <f t="shared" si="3"/>
        <v>2022</v>
      </c>
      <c r="I70" t="str">
        <f t="shared" si="4"/>
        <v>February</v>
      </c>
      <c r="J70" t="str">
        <f t="shared" si="5"/>
        <v>Q1</v>
      </c>
      <c r="K70" t="str">
        <f>TEXT(checking_account_main[[#This Row],[Date]],"mmm-yyyy")</f>
        <v>Feb-2022</v>
      </c>
      <c r="L70">
        <f>_xlfn.XLOOKUP(checking_account_main[[#This Row],[Month_Year]],checking_account_main[Month_Year],checking_account_main[Balance],"",0,-1)</f>
        <v>65540</v>
      </c>
    </row>
    <row r="71" spans="1:12" x14ac:dyDescent="0.3">
      <c r="A71" s="1">
        <v>44617</v>
      </c>
      <c r="B71" t="s">
        <v>87</v>
      </c>
      <c r="C71" t="s">
        <v>8</v>
      </c>
      <c r="D71" t="s">
        <v>9</v>
      </c>
      <c r="E71" t="s">
        <v>10</v>
      </c>
      <c r="F71" s="3">
        <v>1087</v>
      </c>
      <c r="G71">
        <v>62857</v>
      </c>
      <c r="H71">
        <f t="shared" si="3"/>
        <v>2022</v>
      </c>
      <c r="I71" t="str">
        <f t="shared" si="4"/>
        <v>February</v>
      </c>
      <c r="J71" t="str">
        <f t="shared" si="5"/>
        <v>Q1</v>
      </c>
      <c r="K71" t="str">
        <f>TEXT(checking_account_main[[#This Row],[Date]],"mmm-yyyy")</f>
        <v>Feb-2022</v>
      </c>
      <c r="L71">
        <f>_xlfn.XLOOKUP(checking_account_main[[#This Row],[Month_Year]],checking_account_main[Month_Year],checking_account_main[Balance],"",0,-1)</f>
        <v>65540</v>
      </c>
    </row>
    <row r="72" spans="1:12" x14ac:dyDescent="0.3">
      <c r="A72" s="1">
        <v>44618</v>
      </c>
      <c r="B72" t="s">
        <v>88</v>
      </c>
      <c r="C72" t="s">
        <v>8</v>
      </c>
      <c r="D72" t="s">
        <v>9</v>
      </c>
      <c r="E72" t="s">
        <v>10</v>
      </c>
      <c r="F72" s="3">
        <v>1106</v>
      </c>
      <c r="G72">
        <v>63963</v>
      </c>
      <c r="H72">
        <f t="shared" si="3"/>
        <v>2022</v>
      </c>
      <c r="I72" t="str">
        <f t="shared" si="4"/>
        <v>February</v>
      </c>
      <c r="J72" t="str">
        <f t="shared" si="5"/>
        <v>Q1</v>
      </c>
      <c r="K72" t="str">
        <f>TEXT(checking_account_main[[#This Row],[Date]],"mmm-yyyy")</f>
        <v>Feb-2022</v>
      </c>
      <c r="L72">
        <f>_xlfn.XLOOKUP(checking_account_main[[#This Row],[Month_Year]],checking_account_main[Month_Year],checking_account_main[Balance],"",0,-1)</f>
        <v>65540</v>
      </c>
    </row>
    <row r="73" spans="1:12" x14ac:dyDescent="0.3">
      <c r="A73" s="1">
        <v>44619</v>
      </c>
      <c r="B73" t="s">
        <v>89</v>
      </c>
      <c r="C73" t="s">
        <v>8</v>
      </c>
      <c r="D73" t="s">
        <v>9</v>
      </c>
      <c r="E73" t="s">
        <v>10</v>
      </c>
      <c r="F73" s="3">
        <v>842</v>
      </c>
      <c r="G73">
        <v>64805</v>
      </c>
      <c r="H73">
        <f t="shared" si="3"/>
        <v>2022</v>
      </c>
      <c r="I73" t="str">
        <f t="shared" si="4"/>
        <v>February</v>
      </c>
      <c r="J73" t="str">
        <f t="shared" si="5"/>
        <v>Q1</v>
      </c>
      <c r="K73" t="str">
        <f>TEXT(checking_account_main[[#This Row],[Date]],"mmm-yyyy")</f>
        <v>Feb-2022</v>
      </c>
      <c r="L73">
        <f>_xlfn.XLOOKUP(checking_account_main[[#This Row],[Month_Year]],checking_account_main[Month_Year],checking_account_main[Balance],"",0,-1)</f>
        <v>65540</v>
      </c>
    </row>
    <row r="74" spans="1:12" x14ac:dyDescent="0.3">
      <c r="A74" s="1">
        <v>44620</v>
      </c>
      <c r="B74" t="s">
        <v>90</v>
      </c>
      <c r="C74" t="s">
        <v>8</v>
      </c>
      <c r="D74" t="s">
        <v>9</v>
      </c>
      <c r="E74" t="s">
        <v>10</v>
      </c>
      <c r="F74" s="3">
        <v>735</v>
      </c>
      <c r="G74">
        <v>65540</v>
      </c>
      <c r="H74">
        <f t="shared" si="3"/>
        <v>2022</v>
      </c>
      <c r="I74" t="str">
        <f t="shared" si="4"/>
        <v>February</v>
      </c>
      <c r="J74" t="str">
        <f t="shared" si="5"/>
        <v>Q1</v>
      </c>
      <c r="K74" t="str">
        <f>TEXT(checking_account_main[[#This Row],[Date]],"mmm-yyyy")</f>
        <v>Feb-2022</v>
      </c>
      <c r="L74">
        <f>_xlfn.XLOOKUP(checking_account_main[[#This Row],[Month_Year]],checking_account_main[Month_Year],checking_account_main[Balance],"",0,-1)</f>
        <v>65540</v>
      </c>
    </row>
    <row r="75" spans="1:12" x14ac:dyDescent="0.3">
      <c r="A75" s="1">
        <v>44621</v>
      </c>
      <c r="B75" t="s">
        <v>91</v>
      </c>
      <c r="C75" t="s">
        <v>8</v>
      </c>
      <c r="D75" t="s">
        <v>9</v>
      </c>
      <c r="E75" t="s">
        <v>10</v>
      </c>
      <c r="F75" s="3">
        <v>726</v>
      </c>
      <c r="G75">
        <v>66266</v>
      </c>
      <c r="H75">
        <f t="shared" si="3"/>
        <v>2022</v>
      </c>
      <c r="I75" t="str">
        <f t="shared" si="4"/>
        <v>March</v>
      </c>
      <c r="J75" t="str">
        <f t="shared" si="5"/>
        <v>Q1</v>
      </c>
      <c r="K75" t="str">
        <f>TEXT(checking_account_main[[#This Row],[Date]],"mmm-yyyy")</f>
        <v>Mar-2022</v>
      </c>
      <c r="L75">
        <f>_xlfn.XLOOKUP(checking_account_main[[#This Row],[Month_Year]],checking_account_main[Month_Year],checking_account_main[Balance],"",0,-1)</f>
        <v>82799</v>
      </c>
    </row>
    <row r="76" spans="1:12" x14ac:dyDescent="0.3">
      <c r="A76" s="1">
        <v>44622</v>
      </c>
      <c r="B76" t="s">
        <v>92</v>
      </c>
      <c r="C76" t="s">
        <v>8</v>
      </c>
      <c r="D76" t="s">
        <v>9</v>
      </c>
      <c r="E76" t="s">
        <v>10</v>
      </c>
      <c r="F76" s="3">
        <v>485</v>
      </c>
      <c r="G76">
        <v>66751</v>
      </c>
      <c r="H76">
        <f t="shared" si="3"/>
        <v>2022</v>
      </c>
      <c r="I76" t="str">
        <f t="shared" si="4"/>
        <v>March</v>
      </c>
      <c r="J76" t="str">
        <f t="shared" si="5"/>
        <v>Q1</v>
      </c>
      <c r="K76" t="str">
        <f>TEXT(checking_account_main[[#This Row],[Date]],"mmm-yyyy")</f>
        <v>Mar-2022</v>
      </c>
      <c r="L76">
        <f>_xlfn.XLOOKUP(checking_account_main[[#This Row],[Month_Year]],checking_account_main[Month_Year],checking_account_main[Balance],"",0,-1)</f>
        <v>82799</v>
      </c>
    </row>
    <row r="77" spans="1:12" x14ac:dyDescent="0.3">
      <c r="A77" s="1">
        <v>44623</v>
      </c>
      <c r="B77" t="s">
        <v>93</v>
      </c>
      <c r="C77" t="s">
        <v>8</v>
      </c>
      <c r="D77" t="s">
        <v>9</v>
      </c>
      <c r="E77" t="s">
        <v>10</v>
      </c>
      <c r="F77" s="3">
        <v>569</v>
      </c>
      <c r="G77">
        <v>67320</v>
      </c>
      <c r="H77">
        <f t="shared" si="3"/>
        <v>2022</v>
      </c>
      <c r="I77" t="str">
        <f t="shared" si="4"/>
        <v>March</v>
      </c>
      <c r="J77" t="str">
        <f t="shared" si="5"/>
        <v>Q1</v>
      </c>
      <c r="K77" t="str">
        <f>TEXT(checking_account_main[[#This Row],[Date]],"mmm-yyyy")</f>
        <v>Mar-2022</v>
      </c>
      <c r="L77">
        <f>_xlfn.XLOOKUP(checking_account_main[[#This Row],[Month_Year]],checking_account_main[Month_Year],checking_account_main[Balance],"",0,-1)</f>
        <v>82799</v>
      </c>
    </row>
    <row r="78" spans="1:12" x14ac:dyDescent="0.3">
      <c r="A78" s="1">
        <v>44624</v>
      </c>
      <c r="B78" t="s">
        <v>94</v>
      </c>
      <c r="C78" t="s">
        <v>8</v>
      </c>
      <c r="D78" t="s">
        <v>9</v>
      </c>
      <c r="E78" t="s">
        <v>10</v>
      </c>
      <c r="F78" s="3">
        <v>533</v>
      </c>
      <c r="G78">
        <v>67853</v>
      </c>
      <c r="H78">
        <f t="shared" si="3"/>
        <v>2022</v>
      </c>
      <c r="I78" t="str">
        <f t="shared" si="4"/>
        <v>March</v>
      </c>
      <c r="J78" t="str">
        <f t="shared" si="5"/>
        <v>Q1</v>
      </c>
      <c r="K78" t="str">
        <f>TEXT(checking_account_main[[#This Row],[Date]],"mmm-yyyy")</f>
        <v>Mar-2022</v>
      </c>
      <c r="L78">
        <f>_xlfn.XLOOKUP(checking_account_main[[#This Row],[Month_Year]],checking_account_main[Month_Year],checking_account_main[Balance],"",0,-1)</f>
        <v>82799</v>
      </c>
    </row>
    <row r="79" spans="1:12" x14ac:dyDescent="0.3">
      <c r="A79" s="1">
        <v>44625</v>
      </c>
      <c r="B79" t="s">
        <v>95</v>
      </c>
      <c r="C79" t="s">
        <v>8</v>
      </c>
      <c r="D79" t="s">
        <v>9</v>
      </c>
      <c r="E79" t="s">
        <v>10</v>
      </c>
      <c r="F79" s="3">
        <v>507</v>
      </c>
      <c r="G79">
        <v>68360</v>
      </c>
      <c r="H79">
        <f t="shared" si="3"/>
        <v>2022</v>
      </c>
      <c r="I79" t="str">
        <f t="shared" si="4"/>
        <v>March</v>
      </c>
      <c r="J79" t="str">
        <f t="shared" si="5"/>
        <v>Q1</v>
      </c>
      <c r="K79" t="str">
        <f>TEXT(checking_account_main[[#This Row],[Date]],"mmm-yyyy")</f>
        <v>Mar-2022</v>
      </c>
      <c r="L79">
        <f>_xlfn.XLOOKUP(checking_account_main[[#This Row],[Month_Year]],checking_account_main[Month_Year],checking_account_main[Balance],"",0,-1)</f>
        <v>82799</v>
      </c>
    </row>
    <row r="80" spans="1:12" x14ac:dyDescent="0.3">
      <c r="A80" s="1">
        <v>44625</v>
      </c>
      <c r="B80" t="s">
        <v>96</v>
      </c>
      <c r="C80" t="s">
        <v>15</v>
      </c>
      <c r="D80" t="s">
        <v>16</v>
      </c>
      <c r="E80" t="s">
        <v>17</v>
      </c>
      <c r="F80" s="3">
        <v>385</v>
      </c>
      <c r="G80">
        <v>67975</v>
      </c>
      <c r="H80">
        <f t="shared" si="3"/>
        <v>2022</v>
      </c>
      <c r="I80" t="str">
        <f t="shared" si="4"/>
        <v>March</v>
      </c>
      <c r="J80" t="str">
        <f t="shared" si="5"/>
        <v>Q1</v>
      </c>
      <c r="K80" t="str">
        <f>TEXT(checking_account_main[[#This Row],[Date]],"mmm-yyyy")</f>
        <v>Mar-2022</v>
      </c>
      <c r="L80">
        <f>_xlfn.XLOOKUP(checking_account_main[[#This Row],[Month_Year]],checking_account_main[Month_Year],checking_account_main[Balance],"",0,-1)</f>
        <v>82799</v>
      </c>
    </row>
    <row r="81" spans="1:12" x14ac:dyDescent="0.3">
      <c r="A81" s="1">
        <v>44626</v>
      </c>
      <c r="B81" t="s">
        <v>97</v>
      </c>
      <c r="C81" t="s">
        <v>8</v>
      </c>
      <c r="D81" t="s">
        <v>9</v>
      </c>
      <c r="E81" t="s">
        <v>10</v>
      </c>
      <c r="F81" s="3">
        <v>527</v>
      </c>
      <c r="G81">
        <v>68502</v>
      </c>
      <c r="H81">
        <f t="shared" si="3"/>
        <v>2022</v>
      </c>
      <c r="I81" t="str">
        <f t="shared" si="4"/>
        <v>March</v>
      </c>
      <c r="J81" t="str">
        <f t="shared" si="5"/>
        <v>Q1</v>
      </c>
      <c r="K81" t="str">
        <f>TEXT(checking_account_main[[#This Row],[Date]],"mmm-yyyy")</f>
        <v>Mar-2022</v>
      </c>
      <c r="L81">
        <f>_xlfn.XLOOKUP(checking_account_main[[#This Row],[Month_Year]],checking_account_main[Month_Year],checking_account_main[Balance],"",0,-1)</f>
        <v>82799</v>
      </c>
    </row>
    <row r="82" spans="1:12" x14ac:dyDescent="0.3">
      <c r="A82" s="1">
        <v>44627</v>
      </c>
      <c r="B82" t="s">
        <v>98</v>
      </c>
      <c r="C82" t="s">
        <v>8</v>
      </c>
      <c r="D82" t="s">
        <v>9</v>
      </c>
      <c r="E82" t="s">
        <v>10</v>
      </c>
      <c r="F82" s="3">
        <v>747</v>
      </c>
      <c r="G82">
        <v>69249</v>
      </c>
      <c r="H82">
        <f t="shared" si="3"/>
        <v>2022</v>
      </c>
      <c r="I82" t="str">
        <f t="shared" si="4"/>
        <v>March</v>
      </c>
      <c r="J82" t="str">
        <f t="shared" si="5"/>
        <v>Q1</v>
      </c>
      <c r="K82" t="str">
        <f>TEXT(checking_account_main[[#This Row],[Date]],"mmm-yyyy")</f>
        <v>Mar-2022</v>
      </c>
      <c r="L82">
        <f>_xlfn.XLOOKUP(checking_account_main[[#This Row],[Month_Year]],checking_account_main[Month_Year],checking_account_main[Balance],"",0,-1)</f>
        <v>82799</v>
      </c>
    </row>
    <row r="83" spans="1:12" x14ac:dyDescent="0.3">
      <c r="A83" s="1">
        <v>44628</v>
      </c>
      <c r="B83" t="s">
        <v>99</v>
      </c>
      <c r="C83" t="s">
        <v>8</v>
      </c>
      <c r="D83" t="s">
        <v>9</v>
      </c>
      <c r="E83" t="s">
        <v>10</v>
      </c>
      <c r="F83" s="3">
        <v>589</v>
      </c>
      <c r="G83">
        <v>69838</v>
      </c>
      <c r="H83">
        <f t="shared" si="3"/>
        <v>2022</v>
      </c>
      <c r="I83" t="str">
        <f t="shared" si="4"/>
        <v>March</v>
      </c>
      <c r="J83" t="str">
        <f t="shared" si="5"/>
        <v>Q1</v>
      </c>
      <c r="K83" t="str">
        <f>TEXT(checking_account_main[[#This Row],[Date]],"mmm-yyyy")</f>
        <v>Mar-2022</v>
      </c>
      <c r="L83">
        <f>_xlfn.XLOOKUP(checking_account_main[[#This Row],[Month_Year]],checking_account_main[Month_Year],checking_account_main[Balance],"",0,-1)</f>
        <v>82799</v>
      </c>
    </row>
    <row r="84" spans="1:12" x14ac:dyDescent="0.3">
      <c r="A84" s="1">
        <v>44628</v>
      </c>
      <c r="B84" t="s">
        <v>100</v>
      </c>
      <c r="C84" t="s">
        <v>15</v>
      </c>
      <c r="D84" t="s">
        <v>16</v>
      </c>
      <c r="E84" t="s">
        <v>17</v>
      </c>
      <c r="F84" s="3">
        <v>476</v>
      </c>
      <c r="G84">
        <v>69362</v>
      </c>
      <c r="H84">
        <f t="shared" si="3"/>
        <v>2022</v>
      </c>
      <c r="I84" t="str">
        <f t="shared" si="4"/>
        <v>March</v>
      </c>
      <c r="J84" t="str">
        <f t="shared" si="5"/>
        <v>Q1</v>
      </c>
      <c r="K84" t="str">
        <f>TEXT(checking_account_main[[#This Row],[Date]],"mmm-yyyy")</f>
        <v>Mar-2022</v>
      </c>
      <c r="L84">
        <f>_xlfn.XLOOKUP(checking_account_main[[#This Row],[Month_Year]],checking_account_main[Month_Year],checking_account_main[Balance],"",0,-1)</f>
        <v>82799</v>
      </c>
    </row>
    <row r="85" spans="1:12" x14ac:dyDescent="0.3">
      <c r="A85" s="1">
        <v>44629</v>
      </c>
      <c r="B85" t="s">
        <v>101</v>
      </c>
      <c r="C85" t="s">
        <v>8</v>
      </c>
      <c r="D85" t="s">
        <v>9</v>
      </c>
      <c r="E85" t="s">
        <v>10</v>
      </c>
      <c r="F85" s="3">
        <v>520</v>
      </c>
      <c r="G85">
        <v>69882</v>
      </c>
      <c r="H85">
        <f t="shared" si="3"/>
        <v>2022</v>
      </c>
      <c r="I85" t="str">
        <f t="shared" si="4"/>
        <v>March</v>
      </c>
      <c r="J85" t="str">
        <f t="shared" si="5"/>
        <v>Q1</v>
      </c>
      <c r="K85" t="str">
        <f>TEXT(checking_account_main[[#This Row],[Date]],"mmm-yyyy")</f>
        <v>Mar-2022</v>
      </c>
      <c r="L85">
        <f>_xlfn.XLOOKUP(checking_account_main[[#This Row],[Month_Year]],checking_account_main[Month_Year],checking_account_main[Balance],"",0,-1)</f>
        <v>82799</v>
      </c>
    </row>
    <row r="86" spans="1:12" x14ac:dyDescent="0.3">
      <c r="A86" s="1">
        <v>44630</v>
      </c>
      <c r="B86" t="s">
        <v>102</v>
      </c>
      <c r="C86" t="s">
        <v>8</v>
      </c>
      <c r="D86" t="s">
        <v>9</v>
      </c>
      <c r="E86" t="s">
        <v>10</v>
      </c>
      <c r="F86" s="3">
        <v>632</v>
      </c>
      <c r="G86">
        <v>70514</v>
      </c>
      <c r="H86">
        <f t="shared" si="3"/>
        <v>2022</v>
      </c>
      <c r="I86" t="str">
        <f t="shared" si="4"/>
        <v>March</v>
      </c>
      <c r="J86" t="str">
        <f t="shared" si="5"/>
        <v>Q1</v>
      </c>
      <c r="K86" t="str">
        <f>TEXT(checking_account_main[[#This Row],[Date]],"mmm-yyyy")</f>
        <v>Mar-2022</v>
      </c>
      <c r="L86">
        <f>_xlfn.XLOOKUP(checking_account_main[[#This Row],[Month_Year]],checking_account_main[Month_Year],checking_account_main[Balance],"",0,-1)</f>
        <v>82799</v>
      </c>
    </row>
    <row r="87" spans="1:12" x14ac:dyDescent="0.3">
      <c r="A87" s="1">
        <v>44631</v>
      </c>
      <c r="B87" t="s">
        <v>103</v>
      </c>
      <c r="C87" t="s">
        <v>8</v>
      </c>
      <c r="D87" t="s">
        <v>9</v>
      </c>
      <c r="E87" t="s">
        <v>10</v>
      </c>
      <c r="F87" s="3">
        <v>597</v>
      </c>
      <c r="G87">
        <v>71111</v>
      </c>
      <c r="H87">
        <f t="shared" si="3"/>
        <v>2022</v>
      </c>
      <c r="I87" t="str">
        <f t="shared" si="4"/>
        <v>March</v>
      </c>
      <c r="J87" t="str">
        <f t="shared" si="5"/>
        <v>Q1</v>
      </c>
      <c r="K87" t="str">
        <f>TEXT(checking_account_main[[#This Row],[Date]],"mmm-yyyy")</f>
        <v>Mar-2022</v>
      </c>
      <c r="L87">
        <f>_xlfn.XLOOKUP(checking_account_main[[#This Row],[Month_Year]],checking_account_main[Month_Year],checking_account_main[Balance],"",0,-1)</f>
        <v>82799</v>
      </c>
    </row>
    <row r="88" spans="1:12" x14ac:dyDescent="0.3">
      <c r="A88" s="1">
        <v>44632</v>
      </c>
      <c r="B88" t="s">
        <v>104</v>
      </c>
      <c r="C88" t="s">
        <v>8</v>
      </c>
      <c r="D88" t="s">
        <v>9</v>
      </c>
      <c r="E88" t="s">
        <v>10</v>
      </c>
      <c r="F88" s="3">
        <v>536</v>
      </c>
      <c r="G88">
        <v>71647</v>
      </c>
      <c r="H88">
        <f t="shared" si="3"/>
        <v>2022</v>
      </c>
      <c r="I88" t="str">
        <f t="shared" si="4"/>
        <v>March</v>
      </c>
      <c r="J88" t="str">
        <f t="shared" si="5"/>
        <v>Q1</v>
      </c>
      <c r="K88" t="str">
        <f>TEXT(checking_account_main[[#This Row],[Date]],"mmm-yyyy")</f>
        <v>Mar-2022</v>
      </c>
      <c r="L88">
        <f>_xlfn.XLOOKUP(checking_account_main[[#This Row],[Month_Year]],checking_account_main[Month_Year],checking_account_main[Balance],"",0,-1)</f>
        <v>82799</v>
      </c>
    </row>
    <row r="89" spans="1:12" x14ac:dyDescent="0.3">
      <c r="A89" s="1">
        <v>44633</v>
      </c>
      <c r="B89" t="s">
        <v>105</v>
      </c>
      <c r="C89" t="s">
        <v>8</v>
      </c>
      <c r="D89" t="s">
        <v>9</v>
      </c>
      <c r="E89" t="s">
        <v>10</v>
      </c>
      <c r="F89" s="3">
        <v>624</v>
      </c>
      <c r="G89">
        <v>72271</v>
      </c>
      <c r="H89">
        <f t="shared" si="3"/>
        <v>2022</v>
      </c>
      <c r="I89" t="str">
        <f t="shared" si="4"/>
        <v>March</v>
      </c>
      <c r="J89" t="str">
        <f t="shared" si="5"/>
        <v>Q1</v>
      </c>
      <c r="K89" t="str">
        <f>TEXT(checking_account_main[[#This Row],[Date]],"mmm-yyyy")</f>
        <v>Mar-2022</v>
      </c>
      <c r="L89">
        <f>_xlfn.XLOOKUP(checking_account_main[[#This Row],[Month_Year]],checking_account_main[Month_Year],checking_account_main[Balance],"",0,-1)</f>
        <v>82799</v>
      </c>
    </row>
    <row r="90" spans="1:12" x14ac:dyDescent="0.3">
      <c r="A90" s="1">
        <v>44633</v>
      </c>
      <c r="B90" t="s">
        <v>106</v>
      </c>
      <c r="C90" t="s">
        <v>15</v>
      </c>
      <c r="D90" t="s">
        <v>16</v>
      </c>
      <c r="E90" t="s">
        <v>17</v>
      </c>
      <c r="F90" s="3">
        <v>271</v>
      </c>
      <c r="G90">
        <v>72000</v>
      </c>
      <c r="H90">
        <f t="shared" si="3"/>
        <v>2022</v>
      </c>
      <c r="I90" t="str">
        <f t="shared" si="4"/>
        <v>March</v>
      </c>
      <c r="J90" t="str">
        <f t="shared" si="5"/>
        <v>Q1</v>
      </c>
      <c r="K90" t="str">
        <f>TEXT(checking_account_main[[#This Row],[Date]],"mmm-yyyy")</f>
        <v>Mar-2022</v>
      </c>
      <c r="L90">
        <f>_xlfn.XLOOKUP(checking_account_main[[#This Row],[Month_Year]],checking_account_main[Month_Year],checking_account_main[Balance],"",0,-1)</f>
        <v>82799</v>
      </c>
    </row>
    <row r="91" spans="1:12" x14ac:dyDescent="0.3">
      <c r="A91" s="1">
        <v>44634</v>
      </c>
      <c r="B91" t="s">
        <v>107</v>
      </c>
      <c r="C91" t="s">
        <v>8</v>
      </c>
      <c r="D91" t="s">
        <v>9</v>
      </c>
      <c r="E91" t="s">
        <v>10</v>
      </c>
      <c r="F91" s="3">
        <v>773</v>
      </c>
      <c r="G91">
        <v>72773</v>
      </c>
      <c r="H91">
        <f t="shared" si="3"/>
        <v>2022</v>
      </c>
      <c r="I91" t="str">
        <f t="shared" si="4"/>
        <v>March</v>
      </c>
      <c r="J91" t="str">
        <f t="shared" si="5"/>
        <v>Q1</v>
      </c>
      <c r="K91" t="str">
        <f>TEXT(checking_account_main[[#This Row],[Date]],"mmm-yyyy")</f>
        <v>Mar-2022</v>
      </c>
      <c r="L91">
        <f>_xlfn.XLOOKUP(checking_account_main[[#This Row],[Month_Year]],checking_account_main[Month_Year],checking_account_main[Balance],"",0,-1)</f>
        <v>82799</v>
      </c>
    </row>
    <row r="92" spans="1:12" x14ac:dyDescent="0.3">
      <c r="A92" s="1">
        <v>44635</v>
      </c>
      <c r="B92" t="s">
        <v>108</v>
      </c>
      <c r="C92" t="s">
        <v>8</v>
      </c>
      <c r="D92" t="s">
        <v>9</v>
      </c>
      <c r="E92" t="s">
        <v>10</v>
      </c>
      <c r="F92" s="3">
        <v>632</v>
      </c>
      <c r="G92">
        <v>73405</v>
      </c>
      <c r="H92">
        <f t="shared" si="3"/>
        <v>2022</v>
      </c>
      <c r="I92" t="str">
        <f t="shared" si="4"/>
        <v>March</v>
      </c>
      <c r="J92" t="str">
        <f t="shared" si="5"/>
        <v>Q1</v>
      </c>
      <c r="K92" t="str">
        <f>TEXT(checking_account_main[[#This Row],[Date]],"mmm-yyyy")</f>
        <v>Mar-2022</v>
      </c>
      <c r="L92">
        <f>_xlfn.XLOOKUP(checking_account_main[[#This Row],[Month_Year]],checking_account_main[Month_Year],checking_account_main[Balance],"",0,-1)</f>
        <v>82799</v>
      </c>
    </row>
    <row r="93" spans="1:12" x14ac:dyDescent="0.3">
      <c r="A93" s="1">
        <v>44636</v>
      </c>
      <c r="B93" t="s">
        <v>109</v>
      </c>
      <c r="C93" t="s">
        <v>8</v>
      </c>
      <c r="D93" t="s">
        <v>9</v>
      </c>
      <c r="E93" t="s">
        <v>10</v>
      </c>
      <c r="F93" s="3">
        <v>717</v>
      </c>
      <c r="G93">
        <v>74122</v>
      </c>
      <c r="H93">
        <f t="shared" si="3"/>
        <v>2022</v>
      </c>
      <c r="I93" t="str">
        <f t="shared" si="4"/>
        <v>March</v>
      </c>
      <c r="J93" t="str">
        <f t="shared" si="5"/>
        <v>Q1</v>
      </c>
      <c r="K93" t="str">
        <f>TEXT(checking_account_main[[#This Row],[Date]],"mmm-yyyy")</f>
        <v>Mar-2022</v>
      </c>
      <c r="L93">
        <f>_xlfn.XLOOKUP(checking_account_main[[#This Row],[Month_Year]],checking_account_main[Month_Year],checking_account_main[Balance],"",0,-1)</f>
        <v>82799</v>
      </c>
    </row>
    <row r="94" spans="1:12" x14ac:dyDescent="0.3">
      <c r="A94" s="1">
        <v>44637</v>
      </c>
      <c r="B94" t="s">
        <v>110</v>
      </c>
      <c r="C94" t="s">
        <v>8</v>
      </c>
      <c r="D94" t="s">
        <v>9</v>
      </c>
      <c r="E94" t="s">
        <v>10</v>
      </c>
      <c r="F94" s="3">
        <v>451</v>
      </c>
      <c r="G94">
        <v>74573</v>
      </c>
      <c r="H94">
        <f t="shared" si="3"/>
        <v>2022</v>
      </c>
      <c r="I94" t="str">
        <f t="shared" si="4"/>
        <v>March</v>
      </c>
      <c r="J94" t="str">
        <f t="shared" si="5"/>
        <v>Q1</v>
      </c>
      <c r="K94" t="str">
        <f>TEXT(checking_account_main[[#This Row],[Date]],"mmm-yyyy")</f>
        <v>Mar-2022</v>
      </c>
      <c r="L94">
        <f>_xlfn.XLOOKUP(checking_account_main[[#This Row],[Month_Year]],checking_account_main[Month_Year],checking_account_main[Balance],"",0,-1)</f>
        <v>82799</v>
      </c>
    </row>
    <row r="95" spans="1:12" x14ac:dyDescent="0.3">
      <c r="A95" s="1">
        <v>44638</v>
      </c>
      <c r="B95" t="s">
        <v>111</v>
      </c>
      <c r="C95" t="s">
        <v>8</v>
      </c>
      <c r="D95" t="s">
        <v>9</v>
      </c>
      <c r="E95" t="s">
        <v>10</v>
      </c>
      <c r="F95" s="3">
        <v>694</v>
      </c>
      <c r="G95">
        <v>75267</v>
      </c>
      <c r="H95">
        <f t="shared" si="3"/>
        <v>2022</v>
      </c>
      <c r="I95" t="str">
        <f t="shared" si="4"/>
        <v>March</v>
      </c>
      <c r="J95" t="str">
        <f t="shared" si="5"/>
        <v>Q1</v>
      </c>
      <c r="K95" t="str">
        <f>TEXT(checking_account_main[[#This Row],[Date]],"mmm-yyyy")</f>
        <v>Mar-2022</v>
      </c>
      <c r="L95">
        <f>_xlfn.XLOOKUP(checking_account_main[[#This Row],[Month_Year]],checking_account_main[Month_Year],checking_account_main[Balance],"",0,-1)</f>
        <v>82799</v>
      </c>
    </row>
    <row r="96" spans="1:12" x14ac:dyDescent="0.3">
      <c r="A96" s="1">
        <v>44639</v>
      </c>
      <c r="B96" t="s">
        <v>112</v>
      </c>
      <c r="C96" t="s">
        <v>8</v>
      </c>
      <c r="D96" t="s">
        <v>9</v>
      </c>
      <c r="E96" t="s">
        <v>10</v>
      </c>
      <c r="F96" s="3">
        <v>512</v>
      </c>
      <c r="G96">
        <v>75779</v>
      </c>
      <c r="H96">
        <f t="shared" si="3"/>
        <v>2022</v>
      </c>
      <c r="I96" t="str">
        <f t="shared" si="4"/>
        <v>March</v>
      </c>
      <c r="J96" t="str">
        <f t="shared" si="5"/>
        <v>Q1</v>
      </c>
      <c r="K96" t="str">
        <f>TEXT(checking_account_main[[#This Row],[Date]],"mmm-yyyy")</f>
        <v>Mar-2022</v>
      </c>
      <c r="L96">
        <f>_xlfn.XLOOKUP(checking_account_main[[#This Row],[Month_Year]],checking_account_main[Month_Year],checking_account_main[Balance],"",0,-1)</f>
        <v>82799</v>
      </c>
    </row>
    <row r="97" spans="1:12" x14ac:dyDescent="0.3">
      <c r="A97" s="1">
        <v>44639</v>
      </c>
      <c r="B97" t="s">
        <v>113</v>
      </c>
      <c r="C97" t="s">
        <v>15</v>
      </c>
      <c r="D97" t="s">
        <v>16</v>
      </c>
      <c r="E97" t="s">
        <v>17</v>
      </c>
      <c r="F97" s="3">
        <v>180</v>
      </c>
      <c r="G97">
        <v>75599</v>
      </c>
      <c r="H97">
        <f t="shared" si="3"/>
        <v>2022</v>
      </c>
      <c r="I97" t="str">
        <f t="shared" si="4"/>
        <v>March</v>
      </c>
      <c r="J97" t="str">
        <f t="shared" si="5"/>
        <v>Q1</v>
      </c>
      <c r="K97" t="str">
        <f>TEXT(checking_account_main[[#This Row],[Date]],"mmm-yyyy")</f>
        <v>Mar-2022</v>
      </c>
      <c r="L97">
        <f>_xlfn.XLOOKUP(checking_account_main[[#This Row],[Month_Year]],checking_account_main[Month_Year],checking_account_main[Balance],"",0,-1)</f>
        <v>82799</v>
      </c>
    </row>
    <row r="98" spans="1:12" x14ac:dyDescent="0.3">
      <c r="A98" s="1">
        <v>44640</v>
      </c>
      <c r="B98" t="s">
        <v>114</v>
      </c>
      <c r="C98" t="s">
        <v>8</v>
      </c>
      <c r="D98" t="s">
        <v>9</v>
      </c>
      <c r="E98" t="s">
        <v>10</v>
      </c>
      <c r="F98" s="3">
        <v>512</v>
      </c>
      <c r="G98">
        <v>76111</v>
      </c>
      <c r="H98">
        <f t="shared" si="3"/>
        <v>2022</v>
      </c>
      <c r="I98" t="str">
        <f t="shared" si="4"/>
        <v>March</v>
      </c>
      <c r="J98" t="str">
        <f t="shared" si="5"/>
        <v>Q1</v>
      </c>
      <c r="K98" t="str">
        <f>TEXT(checking_account_main[[#This Row],[Date]],"mmm-yyyy")</f>
        <v>Mar-2022</v>
      </c>
      <c r="L98">
        <f>_xlfn.XLOOKUP(checking_account_main[[#This Row],[Month_Year]],checking_account_main[Month_Year],checking_account_main[Balance],"",0,-1)</f>
        <v>82799</v>
      </c>
    </row>
    <row r="99" spans="1:12" x14ac:dyDescent="0.3">
      <c r="A99" s="1">
        <v>44641</v>
      </c>
      <c r="B99" t="s">
        <v>115</v>
      </c>
      <c r="C99" t="s">
        <v>8</v>
      </c>
      <c r="D99" t="s">
        <v>9</v>
      </c>
      <c r="E99" t="s">
        <v>10</v>
      </c>
      <c r="F99" s="3">
        <v>619</v>
      </c>
      <c r="G99">
        <v>76730</v>
      </c>
      <c r="H99">
        <f t="shared" si="3"/>
        <v>2022</v>
      </c>
      <c r="I99" t="str">
        <f t="shared" si="4"/>
        <v>March</v>
      </c>
      <c r="J99" t="str">
        <f t="shared" si="5"/>
        <v>Q1</v>
      </c>
      <c r="K99" t="str">
        <f>TEXT(checking_account_main[[#This Row],[Date]],"mmm-yyyy")</f>
        <v>Mar-2022</v>
      </c>
      <c r="L99">
        <f>_xlfn.XLOOKUP(checking_account_main[[#This Row],[Month_Year]],checking_account_main[Month_Year],checking_account_main[Balance],"",0,-1)</f>
        <v>82799</v>
      </c>
    </row>
    <row r="100" spans="1:12" x14ac:dyDescent="0.3">
      <c r="A100" s="1">
        <v>44641</v>
      </c>
      <c r="B100" t="s">
        <v>116</v>
      </c>
      <c r="C100" t="s">
        <v>28</v>
      </c>
      <c r="D100" t="s">
        <v>29</v>
      </c>
      <c r="E100" t="s">
        <v>17</v>
      </c>
      <c r="F100" s="3">
        <v>323</v>
      </c>
      <c r="G100">
        <v>76407</v>
      </c>
      <c r="H100">
        <f t="shared" si="3"/>
        <v>2022</v>
      </c>
      <c r="I100" t="str">
        <f t="shared" si="4"/>
        <v>March</v>
      </c>
      <c r="J100" t="str">
        <f t="shared" si="5"/>
        <v>Q1</v>
      </c>
      <c r="K100" t="str">
        <f>TEXT(checking_account_main[[#This Row],[Date]],"mmm-yyyy")</f>
        <v>Mar-2022</v>
      </c>
      <c r="L100">
        <f>_xlfn.XLOOKUP(checking_account_main[[#This Row],[Month_Year]],checking_account_main[Month_Year],checking_account_main[Balance],"",0,-1)</f>
        <v>82799</v>
      </c>
    </row>
    <row r="101" spans="1:12" x14ac:dyDescent="0.3">
      <c r="A101" s="1">
        <v>44642</v>
      </c>
      <c r="B101" t="s">
        <v>117</v>
      </c>
      <c r="C101" t="s">
        <v>8</v>
      </c>
      <c r="D101" t="s">
        <v>9</v>
      </c>
      <c r="E101" t="s">
        <v>10</v>
      </c>
      <c r="F101" s="3">
        <v>784</v>
      </c>
      <c r="G101">
        <v>77191</v>
      </c>
      <c r="H101">
        <f t="shared" si="3"/>
        <v>2022</v>
      </c>
      <c r="I101" t="str">
        <f t="shared" si="4"/>
        <v>March</v>
      </c>
      <c r="J101" t="str">
        <f t="shared" si="5"/>
        <v>Q1</v>
      </c>
      <c r="K101" t="str">
        <f>TEXT(checking_account_main[[#This Row],[Date]],"mmm-yyyy")</f>
        <v>Mar-2022</v>
      </c>
      <c r="L101">
        <f>_xlfn.XLOOKUP(checking_account_main[[#This Row],[Month_Year]],checking_account_main[Month_Year],checking_account_main[Balance],"",0,-1)</f>
        <v>82799</v>
      </c>
    </row>
    <row r="102" spans="1:12" x14ac:dyDescent="0.3">
      <c r="A102" s="1">
        <v>44643</v>
      </c>
      <c r="B102" t="s">
        <v>118</v>
      </c>
      <c r="C102" t="s">
        <v>8</v>
      </c>
      <c r="D102" t="s">
        <v>9</v>
      </c>
      <c r="E102" t="s">
        <v>10</v>
      </c>
      <c r="F102" s="3">
        <v>529</v>
      </c>
      <c r="G102">
        <v>77720</v>
      </c>
      <c r="H102">
        <f t="shared" si="3"/>
        <v>2022</v>
      </c>
      <c r="I102" t="str">
        <f t="shared" si="4"/>
        <v>March</v>
      </c>
      <c r="J102" t="str">
        <f t="shared" si="5"/>
        <v>Q1</v>
      </c>
      <c r="K102" t="str">
        <f>TEXT(checking_account_main[[#This Row],[Date]],"mmm-yyyy")</f>
        <v>Mar-2022</v>
      </c>
      <c r="L102">
        <f>_xlfn.XLOOKUP(checking_account_main[[#This Row],[Month_Year]],checking_account_main[Month_Year],checking_account_main[Balance],"",0,-1)</f>
        <v>82799</v>
      </c>
    </row>
    <row r="103" spans="1:12" x14ac:dyDescent="0.3">
      <c r="A103" s="1">
        <v>44644</v>
      </c>
      <c r="B103" t="s">
        <v>119</v>
      </c>
      <c r="C103" t="s">
        <v>8</v>
      </c>
      <c r="D103" t="s">
        <v>9</v>
      </c>
      <c r="E103" t="s">
        <v>10</v>
      </c>
      <c r="F103" s="3">
        <v>617</v>
      </c>
      <c r="G103">
        <v>78337</v>
      </c>
      <c r="H103">
        <f t="shared" si="3"/>
        <v>2022</v>
      </c>
      <c r="I103" t="str">
        <f t="shared" si="4"/>
        <v>March</v>
      </c>
      <c r="J103" t="str">
        <f t="shared" si="5"/>
        <v>Q1</v>
      </c>
      <c r="K103" t="str">
        <f>TEXT(checking_account_main[[#This Row],[Date]],"mmm-yyyy")</f>
        <v>Mar-2022</v>
      </c>
      <c r="L103">
        <f>_xlfn.XLOOKUP(checking_account_main[[#This Row],[Month_Year]],checking_account_main[Month_Year],checking_account_main[Balance],"",0,-1)</f>
        <v>82799</v>
      </c>
    </row>
    <row r="104" spans="1:12" x14ac:dyDescent="0.3">
      <c r="A104" s="1">
        <v>44645</v>
      </c>
      <c r="B104" t="s">
        <v>120</v>
      </c>
      <c r="C104" t="s">
        <v>8</v>
      </c>
      <c r="D104" t="s">
        <v>9</v>
      </c>
      <c r="E104" t="s">
        <v>10</v>
      </c>
      <c r="F104" s="3">
        <v>646</v>
      </c>
      <c r="G104">
        <v>78983</v>
      </c>
      <c r="H104">
        <f t="shared" si="3"/>
        <v>2022</v>
      </c>
      <c r="I104" t="str">
        <f t="shared" si="4"/>
        <v>March</v>
      </c>
      <c r="J104" t="str">
        <f t="shared" si="5"/>
        <v>Q1</v>
      </c>
      <c r="K104" t="str">
        <f>TEXT(checking_account_main[[#This Row],[Date]],"mmm-yyyy")</f>
        <v>Mar-2022</v>
      </c>
      <c r="L104">
        <f>_xlfn.XLOOKUP(checking_account_main[[#This Row],[Month_Year]],checking_account_main[Month_Year],checking_account_main[Balance],"",0,-1)</f>
        <v>82799</v>
      </c>
    </row>
    <row r="105" spans="1:12" x14ac:dyDescent="0.3">
      <c r="A105" s="1">
        <v>44646</v>
      </c>
      <c r="B105" t="s">
        <v>121</v>
      </c>
      <c r="C105" t="s">
        <v>8</v>
      </c>
      <c r="D105" t="s">
        <v>9</v>
      </c>
      <c r="E105" t="s">
        <v>10</v>
      </c>
      <c r="F105" s="3">
        <v>602</v>
      </c>
      <c r="G105">
        <v>79585</v>
      </c>
      <c r="H105">
        <f t="shared" si="3"/>
        <v>2022</v>
      </c>
      <c r="I105" t="str">
        <f t="shared" si="4"/>
        <v>March</v>
      </c>
      <c r="J105" t="str">
        <f t="shared" si="5"/>
        <v>Q1</v>
      </c>
      <c r="K105" t="str">
        <f>TEXT(checking_account_main[[#This Row],[Date]],"mmm-yyyy")</f>
        <v>Mar-2022</v>
      </c>
      <c r="L105">
        <f>_xlfn.XLOOKUP(checking_account_main[[#This Row],[Month_Year]],checking_account_main[Month_Year],checking_account_main[Balance],"",0,-1)</f>
        <v>82799</v>
      </c>
    </row>
    <row r="106" spans="1:12" x14ac:dyDescent="0.3">
      <c r="A106" s="1">
        <v>44647</v>
      </c>
      <c r="B106" t="s">
        <v>122</v>
      </c>
      <c r="C106" t="s">
        <v>8</v>
      </c>
      <c r="D106" t="s">
        <v>9</v>
      </c>
      <c r="E106" t="s">
        <v>10</v>
      </c>
      <c r="F106" s="3">
        <v>654</v>
      </c>
      <c r="G106">
        <v>80239</v>
      </c>
      <c r="H106">
        <f t="shared" si="3"/>
        <v>2022</v>
      </c>
      <c r="I106" t="str">
        <f t="shared" si="4"/>
        <v>March</v>
      </c>
      <c r="J106" t="str">
        <f t="shared" si="5"/>
        <v>Q1</v>
      </c>
      <c r="K106" t="str">
        <f>TEXT(checking_account_main[[#This Row],[Date]],"mmm-yyyy")</f>
        <v>Mar-2022</v>
      </c>
      <c r="L106">
        <f>_xlfn.XLOOKUP(checking_account_main[[#This Row],[Month_Year]],checking_account_main[Month_Year],checking_account_main[Balance],"",0,-1)</f>
        <v>82799</v>
      </c>
    </row>
    <row r="107" spans="1:12" x14ac:dyDescent="0.3">
      <c r="A107" s="1">
        <v>44648</v>
      </c>
      <c r="B107" t="s">
        <v>123</v>
      </c>
      <c r="C107" t="s">
        <v>8</v>
      </c>
      <c r="D107" t="s">
        <v>9</v>
      </c>
      <c r="E107" t="s">
        <v>10</v>
      </c>
      <c r="F107" s="3">
        <v>724</v>
      </c>
      <c r="G107">
        <v>80963</v>
      </c>
      <c r="H107">
        <f t="shared" si="3"/>
        <v>2022</v>
      </c>
      <c r="I107" t="str">
        <f t="shared" si="4"/>
        <v>March</v>
      </c>
      <c r="J107" t="str">
        <f t="shared" si="5"/>
        <v>Q1</v>
      </c>
      <c r="K107" t="str">
        <f>TEXT(checking_account_main[[#This Row],[Date]],"mmm-yyyy")</f>
        <v>Mar-2022</v>
      </c>
      <c r="L107">
        <f>_xlfn.XLOOKUP(checking_account_main[[#This Row],[Month_Year]],checking_account_main[Month_Year],checking_account_main[Balance],"",0,-1)</f>
        <v>82799</v>
      </c>
    </row>
    <row r="108" spans="1:12" x14ac:dyDescent="0.3">
      <c r="A108" s="1">
        <v>44649</v>
      </c>
      <c r="B108" t="s">
        <v>124</v>
      </c>
      <c r="C108" t="s">
        <v>8</v>
      </c>
      <c r="D108" t="s">
        <v>9</v>
      </c>
      <c r="E108" t="s">
        <v>10</v>
      </c>
      <c r="F108" s="3">
        <v>597</v>
      </c>
      <c r="G108">
        <v>81560</v>
      </c>
      <c r="H108">
        <f t="shared" si="3"/>
        <v>2022</v>
      </c>
      <c r="I108" t="str">
        <f t="shared" si="4"/>
        <v>March</v>
      </c>
      <c r="J108" t="str">
        <f t="shared" si="5"/>
        <v>Q1</v>
      </c>
      <c r="K108" t="str">
        <f>TEXT(checking_account_main[[#This Row],[Date]],"mmm-yyyy")</f>
        <v>Mar-2022</v>
      </c>
      <c r="L108">
        <f>_xlfn.XLOOKUP(checking_account_main[[#This Row],[Month_Year]],checking_account_main[Month_Year],checking_account_main[Balance],"",0,-1)</f>
        <v>82799</v>
      </c>
    </row>
    <row r="109" spans="1:12" x14ac:dyDescent="0.3">
      <c r="A109" s="1">
        <v>44650</v>
      </c>
      <c r="B109" t="s">
        <v>125</v>
      </c>
      <c r="C109" t="s">
        <v>8</v>
      </c>
      <c r="D109" t="s">
        <v>9</v>
      </c>
      <c r="E109" t="s">
        <v>10</v>
      </c>
      <c r="F109" s="3">
        <v>639</v>
      </c>
      <c r="G109">
        <v>82199</v>
      </c>
      <c r="H109">
        <f t="shared" si="3"/>
        <v>2022</v>
      </c>
      <c r="I109" t="str">
        <f t="shared" si="4"/>
        <v>March</v>
      </c>
      <c r="J109" t="str">
        <f t="shared" si="5"/>
        <v>Q1</v>
      </c>
      <c r="K109" t="str">
        <f>TEXT(checking_account_main[[#This Row],[Date]],"mmm-yyyy")</f>
        <v>Mar-2022</v>
      </c>
      <c r="L109">
        <f>_xlfn.XLOOKUP(checking_account_main[[#This Row],[Month_Year]],checking_account_main[Month_Year],checking_account_main[Balance],"",0,-1)</f>
        <v>82799</v>
      </c>
    </row>
    <row r="110" spans="1:12" x14ac:dyDescent="0.3">
      <c r="A110" s="1">
        <v>44651</v>
      </c>
      <c r="B110" t="s">
        <v>126</v>
      </c>
      <c r="C110" t="s">
        <v>8</v>
      </c>
      <c r="D110" t="s">
        <v>9</v>
      </c>
      <c r="E110" t="s">
        <v>10</v>
      </c>
      <c r="F110" s="3">
        <v>600</v>
      </c>
      <c r="G110">
        <v>82799</v>
      </c>
      <c r="H110">
        <f t="shared" si="3"/>
        <v>2022</v>
      </c>
      <c r="I110" t="str">
        <f t="shared" si="4"/>
        <v>March</v>
      </c>
      <c r="J110" t="str">
        <f t="shared" si="5"/>
        <v>Q1</v>
      </c>
      <c r="K110" t="str">
        <f>TEXT(checking_account_main[[#This Row],[Date]],"mmm-yyyy")</f>
        <v>Mar-2022</v>
      </c>
      <c r="L110">
        <f>_xlfn.XLOOKUP(checking_account_main[[#This Row],[Month_Year]],checking_account_main[Month_Year],checking_account_main[Balance],"",0,-1)</f>
        <v>82799</v>
      </c>
    </row>
    <row r="111" spans="1:12" x14ac:dyDescent="0.3">
      <c r="A111" s="1">
        <v>44652</v>
      </c>
      <c r="B111" t="s">
        <v>127</v>
      </c>
      <c r="C111" t="s">
        <v>8</v>
      </c>
      <c r="D111" t="s">
        <v>9</v>
      </c>
      <c r="E111" t="s">
        <v>10</v>
      </c>
      <c r="F111" s="3">
        <v>725</v>
      </c>
      <c r="G111">
        <v>83524</v>
      </c>
      <c r="H111">
        <f t="shared" si="3"/>
        <v>2022</v>
      </c>
      <c r="I111" t="str">
        <f t="shared" si="4"/>
        <v>April</v>
      </c>
      <c r="J111" t="str">
        <f t="shared" si="5"/>
        <v>Q2</v>
      </c>
      <c r="K111" t="str">
        <f>TEXT(checking_account_main[[#This Row],[Date]],"mmm-yyyy")</f>
        <v>Apr-2022</v>
      </c>
      <c r="L111">
        <f>_xlfn.XLOOKUP(checking_account_main[[#This Row],[Month_Year]],checking_account_main[Month_Year],checking_account_main[Balance],"",0,-1)</f>
        <v>99527</v>
      </c>
    </row>
    <row r="112" spans="1:12" x14ac:dyDescent="0.3">
      <c r="A112" s="1">
        <v>44653</v>
      </c>
      <c r="B112" t="s">
        <v>128</v>
      </c>
      <c r="C112" t="s">
        <v>8</v>
      </c>
      <c r="D112" t="s">
        <v>9</v>
      </c>
      <c r="E112" t="s">
        <v>10</v>
      </c>
      <c r="F112" s="3">
        <v>658</v>
      </c>
      <c r="G112">
        <v>84182</v>
      </c>
      <c r="H112">
        <f t="shared" si="3"/>
        <v>2022</v>
      </c>
      <c r="I112" t="str">
        <f t="shared" si="4"/>
        <v>April</v>
      </c>
      <c r="J112" t="str">
        <f t="shared" si="5"/>
        <v>Q2</v>
      </c>
      <c r="K112" t="str">
        <f>TEXT(checking_account_main[[#This Row],[Date]],"mmm-yyyy")</f>
        <v>Apr-2022</v>
      </c>
      <c r="L112">
        <f>_xlfn.XLOOKUP(checking_account_main[[#This Row],[Month_Year]],checking_account_main[Month_Year],checking_account_main[Balance],"",0,-1)</f>
        <v>99527</v>
      </c>
    </row>
    <row r="113" spans="1:12" x14ac:dyDescent="0.3">
      <c r="A113" s="1">
        <v>44654</v>
      </c>
      <c r="B113" t="s">
        <v>129</v>
      </c>
      <c r="C113" t="s">
        <v>8</v>
      </c>
      <c r="D113" t="s">
        <v>9</v>
      </c>
      <c r="E113" t="s">
        <v>10</v>
      </c>
      <c r="F113" s="3">
        <v>745</v>
      </c>
      <c r="G113">
        <v>84927</v>
      </c>
      <c r="H113">
        <f t="shared" si="3"/>
        <v>2022</v>
      </c>
      <c r="I113" t="str">
        <f t="shared" si="4"/>
        <v>April</v>
      </c>
      <c r="J113" t="str">
        <f t="shared" si="5"/>
        <v>Q2</v>
      </c>
      <c r="K113" t="str">
        <f>TEXT(checking_account_main[[#This Row],[Date]],"mmm-yyyy")</f>
        <v>Apr-2022</v>
      </c>
      <c r="L113">
        <f>_xlfn.XLOOKUP(checking_account_main[[#This Row],[Month_Year]],checking_account_main[Month_Year],checking_account_main[Balance],"",0,-1)</f>
        <v>99527</v>
      </c>
    </row>
    <row r="114" spans="1:12" x14ac:dyDescent="0.3">
      <c r="A114" s="1">
        <v>44655</v>
      </c>
      <c r="B114" t="s">
        <v>130</v>
      </c>
      <c r="C114" t="s">
        <v>8</v>
      </c>
      <c r="D114" t="s">
        <v>9</v>
      </c>
      <c r="E114" t="s">
        <v>10</v>
      </c>
      <c r="F114" s="3">
        <v>546</v>
      </c>
      <c r="G114">
        <v>85473</v>
      </c>
      <c r="H114">
        <f t="shared" si="3"/>
        <v>2022</v>
      </c>
      <c r="I114" t="str">
        <f t="shared" si="4"/>
        <v>April</v>
      </c>
      <c r="J114" t="str">
        <f t="shared" si="5"/>
        <v>Q2</v>
      </c>
      <c r="K114" t="str">
        <f>TEXT(checking_account_main[[#This Row],[Date]],"mmm-yyyy")</f>
        <v>Apr-2022</v>
      </c>
      <c r="L114">
        <f>_xlfn.XLOOKUP(checking_account_main[[#This Row],[Month_Year]],checking_account_main[Month_Year],checking_account_main[Balance],"",0,-1)</f>
        <v>99527</v>
      </c>
    </row>
    <row r="115" spans="1:12" x14ac:dyDescent="0.3">
      <c r="A115" s="1">
        <v>44656</v>
      </c>
      <c r="B115" t="s">
        <v>131</v>
      </c>
      <c r="C115" t="s">
        <v>8</v>
      </c>
      <c r="D115" t="s">
        <v>9</v>
      </c>
      <c r="E115" t="s">
        <v>10</v>
      </c>
      <c r="F115" s="3">
        <v>598</v>
      </c>
      <c r="G115">
        <v>86071</v>
      </c>
      <c r="H115">
        <f t="shared" si="3"/>
        <v>2022</v>
      </c>
      <c r="I115" t="str">
        <f t="shared" si="4"/>
        <v>April</v>
      </c>
      <c r="J115" t="str">
        <f t="shared" si="5"/>
        <v>Q2</v>
      </c>
      <c r="K115" t="str">
        <f>TEXT(checking_account_main[[#This Row],[Date]],"mmm-yyyy")</f>
        <v>Apr-2022</v>
      </c>
      <c r="L115">
        <f>_xlfn.XLOOKUP(checking_account_main[[#This Row],[Month_Year]],checking_account_main[Month_Year],checking_account_main[Balance],"",0,-1)</f>
        <v>99527</v>
      </c>
    </row>
    <row r="116" spans="1:12" x14ac:dyDescent="0.3">
      <c r="A116" s="1">
        <v>44656</v>
      </c>
      <c r="B116" t="s">
        <v>132</v>
      </c>
      <c r="C116" t="s">
        <v>47</v>
      </c>
      <c r="D116" t="s">
        <v>29</v>
      </c>
      <c r="E116" t="s">
        <v>17</v>
      </c>
      <c r="F116" s="3">
        <v>227</v>
      </c>
      <c r="G116">
        <v>85844</v>
      </c>
      <c r="H116">
        <f t="shared" si="3"/>
        <v>2022</v>
      </c>
      <c r="I116" t="str">
        <f t="shared" si="4"/>
        <v>April</v>
      </c>
      <c r="J116" t="str">
        <f t="shared" si="5"/>
        <v>Q2</v>
      </c>
      <c r="K116" t="str">
        <f>TEXT(checking_account_main[[#This Row],[Date]],"mmm-yyyy")</f>
        <v>Apr-2022</v>
      </c>
      <c r="L116">
        <f>_xlfn.XLOOKUP(checking_account_main[[#This Row],[Month_Year]],checking_account_main[Month_Year],checking_account_main[Balance],"",0,-1)</f>
        <v>99527</v>
      </c>
    </row>
    <row r="117" spans="1:12" x14ac:dyDescent="0.3">
      <c r="A117" s="1">
        <v>44657</v>
      </c>
      <c r="B117" t="s">
        <v>133</v>
      </c>
      <c r="C117" t="s">
        <v>8</v>
      </c>
      <c r="D117" t="s">
        <v>9</v>
      </c>
      <c r="E117" t="s">
        <v>10</v>
      </c>
      <c r="F117" s="3">
        <v>759</v>
      </c>
      <c r="G117">
        <v>86603</v>
      </c>
      <c r="H117">
        <f t="shared" si="3"/>
        <v>2022</v>
      </c>
      <c r="I117" t="str">
        <f t="shared" si="4"/>
        <v>April</v>
      </c>
      <c r="J117" t="str">
        <f t="shared" si="5"/>
        <v>Q2</v>
      </c>
      <c r="K117" t="str">
        <f>TEXT(checking_account_main[[#This Row],[Date]],"mmm-yyyy")</f>
        <v>Apr-2022</v>
      </c>
      <c r="L117">
        <f>_xlfn.XLOOKUP(checking_account_main[[#This Row],[Month_Year]],checking_account_main[Month_Year],checking_account_main[Balance],"",0,-1)</f>
        <v>99527</v>
      </c>
    </row>
    <row r="118" spans="1:12" x14ac:dyDescent="0.3">
      <c r="A118" s="1">
        <v>44657</v>
      </c>
      <c r="B118" t="s">
        <v>134</v>
      </c>
      <c r="C118" t="s">
        <v>47</v>
      </c>
      <c r="D118" t="s">
        <v>29</v>
      </c>
      <c r="E118" t="s">
        <v>17</v>
      </c>
      <c r="F118" s="3">
        <v>250</v>
      </c>
      <c r="G118">
        <v>86353</v>
      </c>
      <c r="H118">
        <f t="shared" si="3"/>
        <v>2022</v>
      </c>
      <c r="I118" t="str">
        <f t="shared" si="4"/>
        <v>April</v>
      </c>
      <c r="J118" t="str">
        <f t="shared" si="5"/>
        <v>Q2</v>
      </c>
      <c r="K118" t="str">
        <f>TEXT(checking_account_main[[#This Row],[Date]],"mmm-yyyy")</f>
        <v>Apr-2022</v>
      </c>
      <c r="L118">
        <f>_xlfn.XLOOKUP(checking_account_main[[#This Row],[Month_Year]],checking_account_main[Month_Year],checking_account_main[Balance],"",0,-1)</f>
        <v>99527</v>
      </c>
    </row>
    <row r="119" spans="1:12" x14ac:dyDescent="0.3">
      <c r="A119" s="1">
        <v>44658</v>
      </c>
      <c r="B119" t="s">
        <v>135</v>
      </c>
      <c r="C119" t="s">
        <v>8</v>
      </c>
      <c r="D119" t="s">
        <v>9</v>
      </c>
      <c r="E119" t="s">
        <v>10</v>
      </c>
      <c r="F119" s="3">
        <v>498</v>
      </c>
      <c r="G119">
        <v>86851</v>
      </c>
      <c r="H119">
        <f t="shared" si="3"/>
        <v>2022</v>
      </c>
      <c r="I119" t="str">
        <f t="shared" si="4"/>
        <v>April</v>
      </c>
      <c r="J119" t="str">
        <f t="shared" si="5"/>
        <v>Q2</v>
      </c>
      <c r="K119" t="str">
        <f>TEXT(checking_account_main[[#This Row],[Date]],"mmm-yyyy")</f>
        <v>Apr-2022</v>
      </c>
      <c r="L119">
        <f>_xlfn.XLOOKUP(checking_account_main[[#This Row],[Month_Year]],checking_account_main[Month_Year],checking_account_main[Balance],"",0,-1)</f>
        <v>99527</v>
      </c>
    </row>
    <row r="120" spans="1:12" x14ac:dyDescent="0.3">
      <c r="A120" s="1">
        <v>44659</v>
      </c>
      <c r="B120" t="s">
        <v>136</v>
      </c>
      <c r="C120" t="s">
        <v>8</v>
      </c>
      <c r="D120" t="s">
        <v>9</v>
      </c>
      <c r="E120" t="s">
        <v>10</v>
      </c>
      <c r="F120" s="3">
        <v>543</v>
      </c>
      <c r="G120">
        <v>87394</v>
      </c>
      <c r="H120">
        <f t="shared" si="3"/>
        <v>2022</v>
      </c>
      <c r="I120" t="str">
        <f t="shared" si="4"/>
        <v>April</v>
      </c>
      <c r="J120" t="str">
        <f t="shared" si="5"/>
        <v>Q2</v>
      </c>
      <c r="K120" t="str">
        <f>TEXT(checking_account_main[[#This Row],[Date]],"mmm-yyyy")</f>
        <v>Apr-2022</v>
      </c>
      <c r="L120">
        <f>_xlfn.XLOOKUP(checking_account_main[[#This Row],[Month_Year]],checking_account_main[Month_Year],checking_account_main[Balance],"",0,-1)</f>
        <v>99527</v>
      </c>
    </row>
    <row r="121" spans="1:12" x14ac:dyDescent="0.3">
      <c r="A121" s="1">
        <v>44660</v>
      </c>
      <c r="B121" t="s">
        <v>137</v>
      </c>
      <c r="C121" t="s">
        <v>8</v>
      </c>
      <c r="D121" t="s">
        <v>9</v>
      </c>
      <c r="E121" t="s">
        <v>10</v>
      </c>
      <c r="F121" s="3">
        <v>459</v>
      </c>
      <c r="G121">
        <v>87853</v>
      </c>
      <c r="H121">
        <f t="shared" si="3"/>
        <v>2022</v>
      </c>
      <c r="I121" t="str">
        <f t="shared" si="4"/>
        <v>April</v>
      </c>
      <c r="J121" t="str">
        <f t="shared" si="5"/>
        <v>Q2</v>
      </c>
      <c r="K121" t="str">
        <f>TEXT(checking_account_main[[#This Row],[Date]],"mmm-yyyy")</f>
        <v>Apr-2022</v>
      </c>
      <c r="L121">
        <f>_xlfn.XLOOKUP(checking_account_main[[#This Row],[Month_Year]],checking_account_main[Month_Year],checking_account_main[Balance],"",0,-1)</f>
        <v>99527</v>
      </c>
    </row>
    <row r="122" spans="1:12" x14ac:dyDescent="0.3">
      <c r="A122" s="1">
        <v>44661</v>
      </c>
      <c r="B122" t="s">
        <v>138</v>
      </c>
      <c r="C122" t="s">
        <v>8</v>
      </c>
      <c r="D122" t="s">
        <v>9</v>
      </c>
      <c r="E122" t="s">
        <v>10</v>
      </c>
      <c r="F122" s="3">
        <v>784</v>
      </c>
      <c r="G122">
        <v>88637</v>
      </c>
      <c r="H122">
        <f t="shared" si="3"/>
        <v>2022</v>
      </c>
      <c r="I122" t="str">
        <f t="shared" si="4"/>
        <v>April</v>
      </c>
      <c r="J122" t="str">
        <f t="shared" si="5"/>
        <v>Q2</v>
      </c>
      <c r="K122" t="str">
        <f>TEXT(checking_account_main[[#This Row],[Date]],"mmm-yyyy")</f>
        <v>Apr-2022</v>
      </c>
      <c r="L122">
        <f>_xlfn.XLOOKUP(checking_account_main[[#This Row],[Month_Year]],checking_account_main[Month_Year],checking_account_main[Balance],"",0,-1)</f>
        <v>99527</v>
      </c>
    </row>
    <row r="123" spans="1:12" x14ac:dyDescent="0.3">
      <c r="A123" s="1">
        <v>44661</v>
      </c>
      <c r="B123" t="s">
        <v>139</v>
      </c>
      <c r="C123" t="s">
        <v>74</v>
      </c>
      <c r="D123" t="s">
        <v>16</v>
      </c>
      <c r="E123" t="s">
        <v>17</v>
      </c>
      <c r="F123" s="3">
        <v>239</v>
      </c>
      <c r="G123">
        <v>88398</v>
      </c>
      <c r="H123">
        <f t="shared" si="3"/>
        <v>2022</v>
      </c>
      <c r="I123" t="str">
        <f t="shared" si="4"/>
        <v>April</v>
      </c>
      <c r="J123" t="str">
        <f t="shared" si="5"/>
        <v>Q2</v>
      </c>
      <c r="K123" t="str">
        <f>TEXT(checking_account_main[[#This Row],[Date]],"mmm-yyyy")</f>
        <v>Apr-2022</v>
      </c>
      <c r="L123">
        <f>_xlfn.XLOOKUP(checking_account_main[[#This Row],[Month_Year]],checking_account_main[Month_Year],checking_account_main[Balance],"",0,-1)</f>
        <v>99527</v>
      </c>
    </row>
    <row r="124" spans="1:12" x14ac:dyDescent="0.3">
      <c r="A124" s="1">
        <v>44662</v>
      </c>
      <c r="B124" t="s">
        <v>140</v>
      </c>
      <c r="C124" t="s">
        <v>8</v>
      </c>
      <c r="D124" t="s">
        <v>9</v>
      </c>
      <c r="E124" t="s">
        <v>10</v>
      </c>
      <c r="F124" s="3">
        <v>436</v>
      </c>
      <c r="G124">
        <v>88834</v>
      </c>
      <c r="H124">
        <f t="shared" si="3"/>
        <v>2022</v>
      </c>
      <c r="I124" t="str">
        <f t="shared" si="4"/>
        <v>April</v>
      </c>
      <c r="J124" t="str">
        <f t="shared" si="5"/>
        <v>Q2</v>
      </c>
      <c r="K124" t="str">
        <f>TEXT(checking_account_main[[#This Row],[Date]],"mmm-yyyy")</f>
        <v>Apr-2022</v>
      </c>
      <c r="L124">
        <f>_xlfn.XLOOKUP(checking_account_main[[#This Row],[Month_Year]],checking_account_main[Month_Year],checking_account_main[Balance],"",0,-1)</f>
        <v>99527</v>
      </c>
    </row>
    <row r="125" spans="1:12" x14ac:dyDescent="0.3">
      <c r="A125" s="1">
        <v>44663</v>
      </c>
      <c r="B125" t="s">
        <v>141</v>
      </c>
      <c r="C125" t="s">
        <v>8</v>
      </c>
      <c r="D125" t="s">
        <v>9</v>
      </c>
      <c r="E125" t="s">
        <v>10</v>
      </c>
      <c r="F125" s="3">
        <v>408</v>
      </c>
      <c r="G125">
        <v>89242</v>
      </c>
      <c r="H125">
        <f t="shared" si="3"/>
        <v>2022</v>
      </c>
      <c r="I125" t="str">
        <f t="shared" si="4"/>
        <v>April</v>
      </c>
      <c r="J125" t="str">
        <f t="shared" si="5"/>
        <v>Q2</v>
      </c>
      <c r="K125" t="str">
        <f>TEXT(checking_account_main[[#This Row],[Date]],"mmm-yyyy")</f>
        <v>Apr-2022</v>
      </c>
      <c r="L125">
        <f>_xlfn.XLOOKUP(checking_account_main[[#This Row],[Month_Year]],checking_account_main[Month_Year],checking_account_main[Balance],"",0,-1)</f>
        <v>99527</v>
      </c>
    </row>
    <row r="126" spans="1:12" x14ac:dyDescent="0.3">
      <c r="A126" s="1">
        <v>44664</v>
      </c>
      <c r="B126" t="s">
        <v>142</v>
      </c>
      <c r="C126" t="s">
        <v>8</v>
      </c>
      <c r="D126" t="s">
        <v>9</v>
      </c>
      <c r="E126" t="s">
        <v>10</v>
      </c>
      <c r="F126" s="3">
        <v>546</v>
      </c>
      <c r="G126">
        <v>89788</v>
      </c>
      <c r="H126">
        <f t="shared" si="3"/>
        <v>2022</v>
      </c>
      <c r="I126" t="str">
        <f t="shared" si="4"/>
        <v>April</v>
      </c>
      <c r="J126" t="str">
        <f t="shared" si="5"/>
        <v>Q2</v>
      </c>
      <c r="K126" t="str">
        <f>TEXT(checking_account_main[[#This Row],[Date]],"mmm-yyyy")</f>
        <v>Apr-2022</v>
      </c>
      <c r="L126">
        <f>_xlfn.XLOOKUP(checking_account_main[[#This Row],[Month_Year]],checking_account_main[Month_Year],checking_account_main[Balance],"",0,-1)</f>
        <v>99527</v>
      </c>
    </row>
    <row r="127" spans="1:12" x14ac:dyDescent="0.3">
      <c r="A127" s="1">
        <v>44665</v>
      </c>
      <c r="B127" t="s">
        <v>143</v>
      </c>
      <c r="C127" t="s">
        <v>8</v>
      </c>
      <c r="D127" t="s">
        <v>9</v>
      </c>
      <c r="E127" t="s">
        <v>10</v>
      </c>
      <c r="F127" s="3">
        <v>530</v>
      </c>
      <c r="G127">
        <v>90318</v>
      </c>
      <c r="H127">
        <f t="shared" si="3"/>
        <v>2022</v>
      </c>
      <c r="I127" t="str">
        <f t="shared" si="4"/>
        <v>April</v>
      </c>
      <c r="J127" t="str">
        <f t="shared" si="5"/>
        <v>Q2</v>
      </c>
      <c r="K127" t="str">
        <f>TEXT(checking_account_main[[#This Row],[Date]],"mmm-yyyy")</f>
        <v>Apr-2022</v>
      </c>
      <c r="L127">
        <f>_xlfn.XLOOKUP(checking_account_main[[#This Row],[Month_Year]],checking_account_main[Month_Year],checking_account_main[Balance],"",0,-1)</f>
        <v>99527</v>
      </c>
    </row>
    <row r="128" spans="1:12" x14ac:dyDescent="0.3">
      <c r="A128" s="1">
        <v>44666</v>
      </c>
      <c r="B128" t="s">
        <v>144</v>
      </c>
      <c r="C128" t="s">
        <v>8</v>
      </c>
      <c r="D128" t="s">
        <v>9</v>
      </c>
      <c r="E128" t="s">
        <v>10</v>
      </c>
      <c r="F128" s="3">
        <v>453</v>
      </c>
      <c r="G128">
        <v>90771</v>
      </c>
      <c r="H128">
        <f t="shared" si="3"/>
        <v>2022</v>
      </c>
      <c r="I128" t="str">
        <f t="shared" si="4"/>
        <v>April</v>
      </c>
      <c r="J128" t="str">
        <f t="shared" si="5"/>
        <v>Q2</v>
      </c>
      <c r="K128" t="str">
        <f>TEXT(checking_account_main[[#This Row],[Date]],"mmm-yyyy")</f>
        <v>Apr-2022</v>
      </c>
      <c r="L128">
        <f>_xlfn.XLOOKUP(checking_account_main[[#This Row],[Month_Year]],checking_account_main[Month_Year],checking_account_main[Balance],"",0,-1)</f>
        <v>99527</v>
      </c>
    </row>
    <row r="129" spans="1:12" x14ac:dyDescent="0.3">
      <c r="A129" s="1">
        <v>44667</v>
      </c>
      <c r="B129" t="s">
        <v>145</v>
      </c>
      <c r="C129" t="s">
        <v>8</v>
      </c>
      <c r="D129" t="s">
        <v>9</v>
      </c>
      <c r="E129" t="s">
        <v>10</v>
      </c>
      <c r="F129" s="3">
        <v>515</v>
      </c>
      <c r="G129">
        <v>91286</v>
      </c>
      <c r="H129">
        <f t="shared" si="3"/>
        <v>2022</v>
      </c>
      <c r="I129" t="str">
        <f t="shared" si="4"/>
        <v>April</v>
      </c>
      <c r="J129" t="str">
        <f t="shared" si="5"/>
        <v>Q2</v>
      </c>
      <c r="K129" t="str">
        <f>TEXT(checking_account_main[[#This Row],[Date]],"mmm-yyyy")</f>
        <v>Apr-2022</v>
      </c>
      <c r="L129">
        <f>_xlfn.XLOOKUP(checking_account_main[[#This Row],[Month_Year]],checking_account_main[Month_Year],checking_account_main[Balance],"",0,-1)</f>
        <v>99527</v>
      </c>
    </row>
    <row r="130" spans="1:12" x14ac:dyDescent="0.3">
      <c r="A130" s="1">
        <v>44667</v>
      </c>
      <c r="B130" t="s">
        <v>146</v>
      </c>
      <c r="C130" t="s">
        <v>22</v>
      </c>
      <c r="D130" t="s">
        <v>16</v>
      </c>
      <c r="E130" t="s">
        <v>17</v>
      </c>
      <c r="F130" s="3">
        <v>203</v>
      </c>
      <c r="G130">
        <v>91083</v>
      </c>
      <c r="H130">
        <f t="shared" ref="H130:H193" si="6">YEAR(A130)</f>
        <v>2022</v>
      </c>
      <c r="I130" t="str">
        <f t="shared" ref="I130:I193" si="7">TEXT(A130,"mmmm")</f>
        <v>April</v>
      </c>
      <c r="J130" t="str">
        <f t="shared" ref="J130:J193" si="8">"Q"&amp;ROUNDUP(MONTH(A130)/3,0)</f>
        <v>Q2</v>
      </c>
      <c r="K130" t="str">
        <f>TEXT(checking_account_main[[#This Row],[Date]],"mmm-yyyy")</f>
        <v>Apr-2022</v>
      </c>
      <c r="L130">
        <f>_xlfn.XLOOKUP(checking_account_main[[#This Row],[Month_Year]],checking_account_main[Month_Year],checking_account_main[Balance],"",0,-1)</f>
        <v>99527</v>
      </c>
    </row>
    <row r="131" spans="1:12" x14ac:dyDescent="0.3">
      <c r="A131" s="1">
        <v>44668</v>
      </c>
      <c r="B131" t="s">
        <v>147</v>
      </c>
      <c r="C131" t="s">
        <v>8</v>
      </c>
      <c r="D131" t="s">
        <v>9</v>
      </c>
      <c r="E131" t="s">
        <v>10</v>
      </c>
      <c r="F131" s="3">
        <v>653</v>
      </c>
      <c r="G131">
        <v>91736</v>
      </c>
      <c r="H131">
        <f t="shared" si="6"/>
        <v>2022</v>
      </c>
      <c r="I131" t="str">
        <f t="shared" si="7"/>
        <v>April</v>
      </c>
      <c r="J131" t="str">
        <f t="shared" si="8"/>
        <v>Q2</v>
      </c>
      <c r="K131" t="str">
        <f>TEXT(checking_account_main[[#This Row],[Date]],"mmm-yyyy")</f>
        <v>Apr-2022</v>
      </c>
      <c r="L131">
        <f>_xlfn.XLOOKUP(checking_account_main[[#This Row],[Month_Year]],checking_account_main[Month_Year],checking_account_main[Balance],"",0,-1)</f>
        <v>99527</v>
      </c>
    </row>
    <row r="132" spans="1:12" x14ac:dyDescent="0.3">
      <c r="A132" s="1">
        <v>44668</v>
      </c>
      <c r="B132" t="s">
        <v>148</v>
      </c>
      <c r="C132" t="s">
        <v>28</v>
      </c>
      <c r="D132" t="s">
        <v>29</v>
      </c>
      <c r="E132" t="s">
        <v>17</v>
      </c>
      <c r="F132" s="3">
        <v>198</v>
      </c>
      <c r="G132">
        <v>91538</v>
      </c>
      <c r="H132">
        <f t="shared" si="6"/>
        <v>2022</v>
      </c>
      <c r="I132" t="str">
        <f t="shared" si="7"/>
        <v>April</v>
      </c>
      <c r="J132" t="str">
        <f t="shared" si="8"/>
        <v>Q2</v>
      </c>
      <c r="K132" t="str">
        <f>TEXT(checking_account_main[[#This Row],[Date]],"mmm-yyyy")</f>
        <v>Apr-2022</v>
      </c>
      <c r="L132">
        <f>_xlfn.XLOOKUP(checking_account_main[[#This Row],[Month_Year]],checking_account_main[Month_Year],checking_account_main[Balance],"",0,-1)</f>
        <v>99527</v>
      </c>
    </row>
    <row r="133" spans="1:12" x14ac:dyDescent="0.3">
      <c r="A133" s="1">
        <v>44669</v>
      </c>
      <c r="B133" t="s">
        <v>149</v>
      </c>
      <c r="C133" t="s">
        <v>8</v>
      </c>
      <c r="D133" t="s">
        <v>9</v>
      </c>
      <c r="E133" t="s">
        <v>10</v>
      </c>
      <c r="F133" s="3">
        <v>748</v>
      </c>
      <c r="G133">
        <v>92286</v>
      </c>
      <c r="H133">
        <f t="shared" si="6"/>
        <v>2022</v>
      </c>
      <c r="I133" t="str">
        <f t="shared" si="7"/>
        <v>April</v>
      </c>
      <c r="J133" t="str">
        <f t="shared" si="8"/>
        <v>Q2</v>
      </c>
      <c r="K133" t="str">
        <f>TEXT(checking_account_main[[#This Row],[Date]],"mmm-yyyy")</f>
        <v>Apr-2022</v>
      </c>
      <c r="L133">
        <f>_xlfn.XLOOKUP(checking_account_main[[#This Row],[Month_Year]],checking_account_main[Month_Year],checking_account_main[Balance],"",0,-1)</f>
        <v>99527</v>
      </c>
    </row>
    <row r="134" spans="1:12" x14ac:dyDescent="0.3">
      <c r="A134" s="1">
        <v>44670</v>
      </c>
      <c r="B134" t="s">
        <v>150</v>
      </c>
      <c r="C134" t="s">
        <v>8</v>
      </c>
      <c r="D134" t="s">
        <v>9</v>
      </c>
      <c r="E134" t="s">
        <v>10</v>
      </c>
      <c r="F134" s="3">
        <v>765</v>
      </c>
      <c r="G134">
        <v>93051</v>
      </c>
      <c r="H134">
        <f t="shared" si="6"/>
        <v>2022</v>
      </c>
      <c r="I134" t="str">
        <f t="shared" si="7"/>
        <v>April</v>
      </c>
      <c r="J134" t="str">
        <f t="shared" si="8"/>
        <v>Q2</v>
      </c>
      <c r="K134" t="str">
        <f>TEXT(checking_account_main[[#This Row],[Date]],"mmm-yyyy")</f>
        <v>Apr-2022</v>
      </c>
      <c r="L134">
        <f>_xlfn.XLOOKUP(checking_account_main[[#This Row],[Month_Year]],checking_account_main[Month_Year],checking_account_main[Balance],"",0,-1)</f>
        <v>99527</v>
      </c>
    </row>
    <row r="135" spans="1:12" x14ac:dyDescent="0.3">
      <c r="A135" s="1">
        <v>44671</v>
      </c>
      <c r="B135" t="s">
        <v>151</v>
      </c>
      <c r="C135" t="s">
        <v>8</v>
      </c>
      <c r="D135" t="s">
        <v>9</v>
      </c>
      <c r="E135" t="s">
        <v>10</v>
      </c>
      <c r="F135" s="3">
        <v>709</v>
      </c>
      <c r="G135">
        <v>93760</v>
      </c>
      <c r="H135">
        <f t="shared" si="6"/>
        <v>2022</v>
      </c>
      <c r="I135" t="str">
        <f t="shared" si="7"/>
        <v>April</v>
      </c>
      <c r="J135" t="str">
        <f t="shared" si="8"/>
        <v>Q2</v>
      </c>
      <c r="K135" t="str">
        <f>TEXT(checking_account_main[[#This Row],[Date]],"mmm-yyyy")</f>
        <v>Apr-2022</v>
      </c>
      <c r="L135">
        <f>_xlfn.XLOOKUP(checking_account_main[[#This Row],[Month_Year]],checking_account_main[Month_Year],checking_account_main[Balance],"",0,-1)</f>
        <v>99527</v>
      </c>
    </row>
    <row r="136" spans="1:12" x14ac:dyDescent="0.3">
      <c r="A136" s="1">
        <v>44672</v>
      </c>
      <c r="B136" t="s">
        <v>152</v>
      </c>
      <c r="C136" t="s">
        <v>8</v>
      </c>
      <c r="D136" t="s">
        <v>9</v>
      </c>
      <c r="E136" t="s">
        <v>10</v>
      </c>
      <c r="F136" s="3">
        <v>568</v>
      </c>
      <c r="G136">
        <v>94328</v>
      </c>
      <c r="H136">
        <f t="shared" si="6"/>
        <v>2022</v>
      </c>
      <c r="I136" t="str">
        <f t="shared" si="7"/>
        <v>April</v>
      </c>
      <c r="J136" t="str">
        <f t="shared" si="8"/>
        <v>Q2</v>
      </c>
      <c r="K136" t="str">
        <f>TEXT(checking_account_main[[#This Row],[Date]],"mmm-yyyy")</f>
        <v>Apr-2022</v>
      </c>
      <c r="L136">
        <f>_xlfn.XLOOKUP(checking_account_main[[#This Row],[Month_Year]],checking_account_main[Month_Year],checking_account_main[Balance],"",0,-1)</f>
        <v>99527</v>
      </c>
    </row>
    <row r="137" spans="1:12" x14ac:dyDescent="0.3">
      <c r="A137" s="1">
        <v>44672</v>
      </c>
      <c r="B137" t="s">
        <v>153</v>
      </c>
      <c r="C137" t="s">
        <v>28</v>
      </c>
      <c r="D137" t="s">
        <v>29</v>
      </c>
      <c r="E137" t="s">
        <v>17</v>
      </c>
      <c r="F137" s="3">
        <v>167</v>
      </c>
      <c r="G137">
        <v>94161</v>
      </c>
      <c r="H137">
        <f t="shared" si="6"/>
        <v>2022</v>
      </c>
      <c r="I137" t="str">
        <f t="shared" si="7"/>
        <v>April</v>
      </c>
      <c r="J137" t="str">
        <f t="shared" si="8"/>
        <v>Q2</v>
      </c>
      <c r="K137" t="str">
        <f>TEXT(checking_account_main[[#This Row],[Date]],"mmm-yyyy")</f>
        <v>Apr-2022</v>
      </c>
      <c r="L137">
        <f>_xlfn.XLOOKUP(checking_account_main[[#This Row],[Month_Year]],checking_account_main[Month_Year],checking_account_main[Balance],"",0,-1)</f>
        <v>99527</v>
      </c>
    </row>
    <row r="138" spans="1:12" x14ac:dyDescent="0.3">
      <c r="A138" s="1">
        <v>44673</v>
      </c>
      <c r="B138" t="s">
        <v>154</v>
      </c>
      <c r="C138" t="s">
        <v>8</v>
      </c>
      <c r="D138" t="s">
        <v>9</v>
      </c>
      <c r="E138" t="s">
        <v>10</v>
      </c>
      <c r="F138" s="3">
        <v>797</v>
      </c>
      <c r="G138">
        <v>94958</v>
      </c>
      <c r="H138">
        <f t="shared" si="6"/>
        <v>2022</v>
      </c>
      <c r="I138" t="str">
        <f t="shared" si="7"/>
        <v>April</v>
      </c>
      <c r="J138" t="str">
        <f t="shared" si="8"/>
        <v>Q2</v>
      </c>
      <c r="K138" t="str">
        <f>TEXT(checking_account_main[[#This Row],[Date]],"mmm-yyyy")</f>
        <v>Apr-2022</v>
      </c>
      <c r="L138">
        <f>_xlfn.XLOOKUP(checking_account_main[[#This Row],[Month_Year]],checking_account_main[Month_Year],checking_account_main[Balance],"",0,-1)</f>
        <v>99527</v>
      </c>
    </row>
    <row r="139" spans="1:12" x14ac:dyDescent="0.3">
      <c r="A139" s="1">
        <v>44674</v>
      </c>
      <c r="B139" t="s">
        <v>155</v>
      </c>
      <c r="C139" t="s">
        <v>8</v>
      </c>
      <c r="D139" t="s">
        <v>9</v>
      </c>
      <c r="E139" t="s">
        <v>10</v>
      </c>
      <c r="F139" s="3">
        <v>783</v>
      </c>
      <c r="G139">
        <v>95741</v>
      </c>
      <c r="H139">
        <f t="shared" si="6"/>
        <v>2022</v>
      </c>
      <c r="I139" t="str">
        <f t="shared" si="7"/>
        <v>April</v>
      </c>
      <c r="J139" t="str">
        <f t="shared" si="8"/>
        <v>Q2</v>
      </c>
      <c r="K139" t="str">
        <f>TEXT(checking_account_main[[#This Row],[Date]],"mmm-yyyy")</f>
        <v>Apr-2022</v>
      </c>
      <c r="L139">
        <f>_xlfn.XLOOKUP(checking_account_main[[#This Row],[Month_Year]],checking_account_main[Month_Year],checking_account_main[Balance],"",0,-1)</f>
        <v>99527</v>
      </c>
    </row>
    <row r="140" spans="1:12" x14ac:dyDescent="0.3">
      <c r="A140" s="1">
        <v>44675</v>
      </c>
      <c r="B140" t="s">
        <v>156</v>
      </c>
      <c r="C140" t="s">
        <v>8</v>
      </c>
      <c r="D140" t="s">
        <v>9</v>
      </c>
      <c r="E140" t="s">
        <v>10</v>
      </c>
      <c r="F140" s="3">
        <v>594</v>
      </c>
      <c r="G140">
        <v>96335</v>
      </c>
      <c r="H140">
        <f t="shared" si="6"/>
        <v>2022</v>
      </c>
      <c r="I140" t="str">
        <f t="shared" si="7"/>
        <v>April</v>
      </c>
      <c r="J140" t="str">
        <f t="shared" si="8"/>
        <v>Q2</v>
      </c>
      <c r="K140" t="str">
        <f>TEXT(checking_account_main[[#This Row],[Date]],"mmm-yyyy")</f>
        <v>Apr-2022</v>
      </c>
      <c r="L140">
        <f>_xlfn.XLOOKUP(checking_account_main[[#This Row],[Month_Year]],checking_account_main[Month_Year],checking_account_main[Balance],"",0,-1)</f>
        <v>99527</v>
      </c>
    </row>
    <row r="141" spans="1:12" x14ac:dyDescent="0.3">
      <c r="A141" s="1">
        <v>44676</v>
      </c>
      <c r="B141" t="s">
        <v>157</v>
      </c>
      <c r="C141" t="s">
        <v>8</v>
      </c>
      <c r="D141" t="s">
        <v>9</v>
      </c>
      <c r="E141" t="s">
        <v>10</v>
      </c>
      <c r="F141" s="3">
        <v>432</v>
      </c>
      <c r="G141">
        <v>96767</v>
      </c>
      <c r="H141">
        <f t="shared" si="6"/>
        <v>2022</v>
      </c>
      <c r="I141" t="str">
        <f t="shared" si="7"/>
        <v>April</v>
      </c>
      <c r="J141" t="str">
        <f t="shared" si="8"/>
        <v>Q2</v>
      </c>
      <c r="K141" t="str">
        <f>TEXT(checking_account_main[[#This Row],[Date]],"mmm-yyyy")</f>
        <v>Apr-2022</v>
      </c>
      <c r="L141">
        <f>_xlfn.XLOOKUP(checking_account_main[[#This Row],[Month_Year]],checking_account_main[Month_Year],checking_account_main[Balance],"",0,-1)</f>
        <v>99527</v>
      </c>
    </row>
    <row r="142" spans="1:12" x14ac:dyDescent="0.3">
      <c r="A142" s="1">
        <v>44677</v>
      </c>
      <c r="B142" t="s">
        <v>158</v>
      </c>
      <c r="C142" t="s">
        <v>8</v>
      </c>
      <c r="D142" t="s">
        <v>9</v>
      </c>
      <c r="E142" t="s">
        <v>10</v>
      </c>
      <c r="F142" s="3">
        <v>770</v>
      </c>
      <c r="G142">
        <v>97537</v>
      </c>
      <c r="H142">
        <f t="shared" si="6"/>
        <v>2022</v>
      </c>
      <c r="I142" t="str">
        <f t="shared" si="7"/>
        <v>April</v>
      </c>
      <c r="J142" t="str">
        <f t="shared" si="8"/>
        <v>Q2</v>
      </c>
      <c r="K142" t="str">
        <f>TEXT(checking_account_main[[#This Row],[Date]],"mmm-yyyy")</f>
        <v>Apr-2022</v>
      </c>
      <c r="L142">
        <f>_xlfn.XLOOKUP(checking_account_main[[#This Row],[Month_Year]],checking_account_main[Month_Year],checking_account_main[Balance],"",0,-1)</f>
        <v>99527</v>
      </c>
    </row>
    <row r="143" spans="1:12" x14ac:dyDescent="0.3">
      <c r="A143" s="1">
        <v>44678</v>
      </c>
      <c r="B143" t="s">
        <v>159</v>
      </c>
      <c r="C143" t="s">
        <v>8</v>
      </c>
      <c r="D143" t="s">
        <v>9</v>
      </c>
      <c r="E143" t="s">
        <v>10</v>
      </c>
      <c r="F143" s="3">
        <v>421</v>
      </c>
      <c r="G143">
        <v>97958</v>
      </c>
      <c r="H143">
        <f t="shared" si="6"/>
        <v>2022</v>
      </c>
      <c r="I143" t="str">
        <f t="shared" si="7"/>
        <v>April</v>
      </c>
      <c r="J143" t="str">
        <f t="shared" si="8"/>
        <v>Q2</v>
      </c>
      <c r="K143" t="str">
        <f>TEXT(checking_account_main[[#This Row],[Date]],"mmm-yyyy")</f>
        <v>Apr-2022</v>
      </c>
      <c r="L143">
        <f>_xlfn.XLOOKUP(checking_account_main[[#This Row],[Month_Year]],checking_account_main[Month_Year],checking_account_main[Balance],"",0,-1)</f>
        <v>99527</v>
      </c>
    </row>
    <row r="144" spans="1:12" x14ac:dyDescent="0.3">
      <c r="A144" s="1">
        <v>44679</v>
      </c>
      <c r="B144" t="s">
        <v>160</v>
      </c>
      <c r="C144" t="s">
        <v>8</v>
      </c>
      <c r="D144" t="s">
        <v>9</v>
      </c>
      <c r="E144" t="s">
        <v>10</v>
      </c>
      <c r="F144" s="3">
        <v>437</v>
      </c>
      <c r="G144">
        <v>98395</v>
      </c>
      <c r="H144">
        <f t="shared" si="6"/>
        <v>2022</v>
      </c>
      <c r="I144" t="str">
        <f t="shared" si="7"/>
        <v>April</v>
      </c>
      <c r="J144" t="str">
        <f t="shared" si="8"/>
        <v>Q2</v>
      </c>
      <c r="K144" t="str">
        <f>TEXT(checking_account_main[[#This Row],[Date]],"mmm-yyyy")</f>
        <v>Apr-2022</v>
      </c>
      <c r="L144">
        <f>_xlfn.XLOOKUP(checking_account_main[[#This Row],[Month_Year]],checking_account_main[Month_Year],checking_account_main[Balance],"",0,-1)</f>
        <v>99527</v>
      </c>
    </row>
    <row r="145" spans="1:12" x14ac:dyDescent="0.3">
      <c r="A145" s="1">
        <v>44680</v>
      </c>
      <c r="B145" t="s">
        <v>161</v>
      </c>
      <c r="C145" t="s">
        <v>8</v>
      </c>
      <c r="D145" t="s">
        <v>9</v>
      </c>
      <c r="E145" t="s">
        <v>10</v>
      </c>
      <c r="F145" s="3">
        <v>450</v>
      </c>
      <c r="G145">
        <v>98845</v>
      </c>
      <c r="H145">
        <f t="shared" si="6"/>
        <v>2022</v>
      </c>
      <c r="I145" t="str">
        <f t="shared" si="7"/>
        <v>April</v>
      </c>
      <c r="J145" t="str">
        <f t="shared" si="8"/>
        <v>Q2</v>
      </c>
      <c r="K145" t="str">
        <f>TEXT(checking_account_main[[#This Row],[Date]],"mmm-yyyy")</f>
        <v>Apr-2022</v>
      </c>
      <c r="L145">
        <f>_xlfn.XLOOKUP(checking_account_main[[#This Row],[Month_Year]],checking_account_main[Month_Year],checking_account_main[Balance],"",0,-1)</f>
        <v>99527</v>
      </c>
    </row>
    <row r="146" spans="1:12" x14ac:dyDescent="0.3">
      <c r="A146" s="1">
        <v>44681</v>
      </c>
      <c r="B146" t="s">
        <v>162</v>
      </c>
      <c r="C146" t="s">
        <v>8</v>
      </c>
      <c r="D146" t="s">
        <v>9</v>
      </c>
      <c r="E146" t="s">
        <v>10</v>
      </c>
      <c r="F146" s="3">
        <v>682</v>
      </c>
      <c r="G146">
        <v>99527</v>
      </c>
      <c r="H146">
        <f t="shared" si="6"/>
        <v>2022</v>
      </c>
      <c r="I146" t="str">
        <f t="shared" si="7"/>
        <v>April</v>
      </c>
      <c r="J146" t="str">
        <f t="shared" si="8"/>
        <v>Q2</v>
      </c>
      <c r="K146" t="str">
        <f>TEXT(checking_account_main[[#This Row],[Date]],"mmm-yyyy")</f>
        <v>Apr-2022</v>
      </c>
      <c r="L146">
        <f>_xlfn.XLOOKUP(checking_account_main[[#This Row],[Month_Year]],checking_account_main[Month_Year],checking_account_main[Balance],"",0,-1)</f>
        <v>99527</v>
      </c>
    </row>
    <row r="147" spans="1:12" x14ac:dyDescent="0.3">
      <c r="A147" s="1">
        <v>44682</v>
      </c>
      <c r="B147" t="s">
        <v>163</v>
      </c>
      <c r="C147" t="s">
        <v>8</v>
      </c>
      <c r="D147" t="s">
        <v>9</v>
      </c>
      <c r="E147" t="s">
        <v>10</v>
      </c>
      <c r="F147" s="3">
        <v>676</v>
      </c>
      <c r="G147">
        <v>100203</v>
      </c>
      <c r="H147">
        <f t="shared" si="6"/>
        <v>2022</v>
      </c>
      <c r="I147" t="str">
        <f t="shared" si="7"/>
        <v>May</v>
      </c>
      <c r="J147" t="str">
        <f t="shared" si="8"/>
        <v>Q2</v>
      </c>
      <c r="K147" t="str">
        <f>TEXT(checking_account_main[[#This Row],[Date]],"mmm-yyyy")</f>
        <v>May-2022</v>
      </c>
      <c r="L147">
        <f>_xlfn.XLOOKUP(checking_account_main[[#This Row],[Month_Year]],checking_account_main[Month_Year],checking_account_main[Balance],"",0,-1)</f>
        <v>116940</v>
      </c>
    </row>
    <row r="148" spans="1:12" x14ac:dyDescent="0.3">
      <c r="A148" s="1">
        <v>44683</v>
      </c>
      <c r="B148" t="s">
        <v>164</v>
      </c>
      <c r="C148" t="s">
        <v>8</v>
      </c>
      <c r="D148" t="s">
        <v>9</v>
      </c>
      <c r="E148" t="s">
        <v>10</v>
      </c>
      <c r="F148" s="3">
        <v>683</v>
      </c>
      <c r="G148">
        <v>100886</v>
      </c>
      <c r="H148">
        <f t="shared" si="6"/>
        <v>2022</v>
      </c>
      <c r="I148" t="str">
        <f t="shared" si="7"/>
        <v>May</v>
      </c>
      <c r="J148" t="str">
        <f t="shared" si="8"/>
        <v>Q2</v>
      </c>
      <c r="K148" t="str">
        <f>TEXT(checking_account_main[[#This Row],[Date]],"mmm-yyyy")</f>
        <v>May-2022</v>
      </c>
      <c r="L148">
        <f>_xlfn.XLOOKUP(checking_account_main[[#This Row],[Month_Year]],checking_account_main[Month_Year],checking_account_main[Balance],"",0,-1)</f>
        <v>116940</v>
      </c>
    </row>
    <row r="149" spans="1:12" x14ac:dyDescent="0.3">
      <c r="A149" s="1">
        <v>44684</v>
      </c>
      <c r="B149" t="s">
        <v>165</v>
      </c>
      <c r="C149" t="s">
        <v>8</v>
      </c>
      <c r="D149" t="s">
        <v>9</v>
      </c>
      <c r="E149" t="s">
        <v>10</v>
      </c>
      <c r="F149" s="3">
        <v>716</v>
      </c>
      <c r="G149">
        <v>101602</v>
      </c>
      <c r="H149">
        <f t="shared" si="6"/>
        <v>2022</v>
      </c>
      <c r="I149" t="str">
        <f t="shared" si="7"/>
        <v>May</v>
      </c>
      <c r="J149" t="str">
        <f t="shared" si="8"/>
        <v>Q2</v>
      </c>
      <c r="K149" t="str">
        <f>TEXT(checking_account_main[[#This Row],[Date]],"mmm-yyyy")</f>
        <v>May-2022</v>
      </c>
      <c r="L149">
        <f>_xlfn.XLOOKUP(checking_account_main[[#This Row],[Month_Year]],checking_account_main[Month_Year],checking_account_main[Balance],"",0,-1)</f>
        <v>116940</v>
      </c>
    </row>
    <row r="150" spans="1:12" x14ac:dyDescent="0.3">
      <c r="A150" s="1">
        <v>44685</v>
      </c>
      <c r="B150" t="s">
        <v>166</v>
      </c>
      <c r="C150" t="s">
        <v>8</v>
      </c>
      <c r="D150" t="s">
        <v>9</v>
      </c>
      <c r="E150" t="s">
        <v>10</v>
      </c>
      <c r="F150" s="3">
        <v>403</v>
      </c>
      <c r="G150">
        <v>102005</v>
      </c>
      <c r="H150">
        <f t="shared" si="6"/>
        <v>2022</v>
      </c>
      <c r="I150" t="str">
        <f t="shared" si="7"/>
        <v>May</v>
      </c>
      <c r="J150" t="str">
        <f t="shared" si="8"/>
        <v>Q2</v>
      </c>
      <c r="K150" t="str">
        <f>TEXT(checking_account_main[[#This Row],[Date]],"mmm-yyyy")</f>
        <v>May-2022</v>
      </c>
      <c r="L150">
        <f>_xlfn.XLOOKUP(checking_account_main[[#This Row],[Month_Year]],checking_account_main[Month_Year],checking_account_main[Balance],"",0,-1)</f>
        <v>116940</v>
      </c>
    </row>
    <row r="151" spans="1:12" x14ac:dyDescent="0.3">
      <c r="A151" s="1">
        <v>44685</v>
      </c>
      <c r="B151" t="s">
        <v>167</v>
      </c>
      <c r="C151" t="s">
        <v>28</v>
      </c>
      <c r="D151" t="s">
        <v>29</v>
      </c>
      <c r="E151" t="s">
        <v>17</v>
      </c>
      <c r="F151" s="3">
        <v>148</v>
      </c>
      <c r="G151">
        <v>101857</v>
      </c>
      <c r="H151">
        <f t="shared" si="6"/>
        <v>2022</v>
      </c>
      <c r="I151" t="str">
        <f t="shared" si="7"/>
        <v>May</v>
      </c>
      <c r="J151" t="str">
        <f t="shared" si="8"/>
        <v>Q2</v>
      </c>
      <c r="K151" t="str">
        <f>TEXT(checking_account_main[[#This Row],[Date]],"mmm-yyyy")</f>
        <v>May-2022</v>
      </c>
      <c r="L151">
        <f>_xlfn.XLOOKUP(checking_account_main[[#This Row],[Month_Year]],checking_account_main[Month_Year],checking_account_main[Balance],"",0,-1)</f>
        <v>116940</v>
      </c>
    </row>
    <row r="152" spans="1:12" x14ac:dyDescent="0.3">
      <c r="A152" s="1">
        <v>44686</v>
      </c>
      <c r="B152" t="s">
        <v>168</v>
      </c>
      <c r="C152" t="s">
        <v>8</v>
      </c>
      <c r="D152" t="s">
        <v>9</v>
      </c>
      <c r="E152" t="s">
        <v>10</v>
      </c>
      <c r="F152" s="3">
        <v>571</v>
      </c>
      <c r="G152">
        <v>102428</v>
      </c>
      <c r="H152">
        <f t="shared" si="6"/>
        <v>2022</v>
      </c>
      <c r="I152" t="str">
        <f t="shared" si="7"/>
        <v>May</v>
      </c>
      <c r="J152" t="str">
        <f t="shared" si="8"/>
        <v>Q2</v>
      </c>
      <c r="K152" t="str">
        <f>TEXT(checking_account_main[[#This Row],[Date]],"mmm-yyyy")</f>
        <v>May-2022</v>
      </c>
      <c r="L152">
        <f>_xlfn.XLOOKUP(checking_account_main[[#This Row],[Month_Year]],checking_account_main[Month_Year],checking_account_main[Balance],"",0,-1)</f>
        <v>116940</v>
      </c>
    </row>
    <row r="153" spans="1:12" x14ac:dyDescent="0.3">
      <c r="A153" s="1">
        <v>44687</v>
      </c>
      <c r="B153" t="s">
        <v>169</v>
      </c>
      <c r="C153" t="s">
        <v>8</v>
      </c>
      <c r="D153" t="s">
        <v>9</v>
      </c>
      <c r="E153" t="s">
        <v>10</v>
      </c>
      <c r="F153" s="3">
        <v>445</v>
      </c>
      <c r="G153">
        <v>102873</v>
      </c>
      <c r="H153">
        <f t="shared" si="6"/>
        <v>2022</v>
      </c>
      <c r="I153" t="str">
        <f t="shared" si="7"/>
        <v>May</v>
      </c>
      <c r="J153" t="str">
        <f t="shared" si="8"/>
        <v>Q2</v>
      </c>
      <c r="K153" t="str">
        <f>TEXT(checking_account_main[[#This Row],[Date]],"mmm-yyyy")</f>
        <v>May-2022</v>
      </c>
      <c r="L153">
        <f>_xlfn.XLOOKUP(checking_account_main[[#This Row],[Month_Year]],checking_account_main[Month_Year],checking_account_main[Balance],"",0,-1)</f>
        <v>116940</v>
      </c>
    </row>
    <row r="154" spans="1:12" x14ac:dyDescent="0.3">
      <c r="A154" s="1">
        <v>44688</v>
      </c>
      <c r="B154" t="s">
        <v>170</v>
      </c>
      <c r="C154" t="s">
        <v>8</v>
      </c>
      <c r="D154" t="s">
        <v>9</v>
      </c>
      <c r="E154" t="s">
        <v>10</v>
      </c>
      <c r="F154" s="3">
        <v>498</v>
      </c>
      <c r="G154">
        <v>103371</v>
      </c>
      <c r="H154">
        <f t="shared" si="6"/>
        <v>2022</v>
      </c>
      <c r="I154" t="str">
        <f t="shared" si="7"/>
        <v>May</v>
      </c>
      <c r="J154" t="str">
        <f t="shared" si="8"/>
        <v>Q2</v>
      </c>
      <c r="K154" t="str">
        <f>TEXT(checking_account_main[[#This Row],[Date]],"mmm-yyyy")</f>
        <v>May-2022</v>
      </c>
      <c r="L154">
        <f>_xlfn.XLOOKUP(checking_account_main[[#This Row],[Month_Year]],checking_account_main[Month_Year],checking_account_main[Balance],"",0,-1)</f>
        <v>116940</v>
      </c>
    </row>
    <row r="155" spans="1:12" x14ac:dyDescent="0.3">
      <c r="A155" s="1">
        <v>44689</v>
      </c>
      <c r="B155" t="s">
        <v>171</v>
      </c>
      <c r="C155" t="s">
        <v>8</v>
      </c>
      <c r="D155" t="s">
        <v>9</v>
      </c>
      <c r="E155" t="s">
        <v>10</v>
      </c>
      <c r="F155" s="3">
        <v>436</v>
      </c>
      <c r="G155">
        <v>103807</v>
      </c>
      <c r="H155">
        <f t="shared" si="6"/>
        <v>2022</v>
      </c>
      <c r="I155" t="str">
        <f t="shared" si="7"/>
        <v>May</v>
      </c>
      <c r="J155" t="str">
        <f t="shared" si="8"/>
        <v>Q2</v>
      </c>
      <c r="K155" t="str">
        <f>TEXT(checking_account_main[[#This Row],[Date]],"mmm-yyyy")</f>
        <v>May-2022</v>
      </c>
      <c r="L155">
        <f>_xlfn.XLOOKUP(checking_account_main[[#This Row],[Month_Year]],checking_account_main[Month_Year],checking_account_main[Balance],"",0,-1)</f>
        <v>116940</v>
      </c>
    </row>
    <row r="156" spans="1:12" x14ac:dyDescent="0.3">
      <c r="A156" s="1">
        <v>44690</v>
      </c>
      <c r="B156" t="s">
        <v>172</v>
      </c>
      <c r="C156" t="s">
        <v>8</v>
      </c>
      <c r="D156" t="s">
        <v>9</v>
      </c>
      <c r="E156" t="s">
        <v>10</v>
      </c>
      <c r="F156" s="3">
        <v>701</v>
      </c>
      <c r="G156">
        <v>104508</v>
      </c>
      <c r="H156">
        <f t="shared" si="6"/>
        <v>2022</v>
      </c>
      <c r="I156" t="str">
        <f t="shared" si="7"/>
        <v>May</v>
      </c>
      <c r="J156" t="str">
        <f t="shared" si="8"/>
        <v>Q2</v>
      </c>
      <c r="K156" t="str">
        <f>TEXT(checking_account_main[[#This Row],[Date]],"mmm-yyyy")</f>
        <v>May-2022</v>
      </c>
      <c r="L156">
        <f>_xlfn.XLOOKUP(checking_account_main[[#This Row],[Month_Year]],checking_account_main[Month_Year],checking_account_main[Balance],"",0,-1)</f>
        <v>116940</v>
      </c>
    </row>
    <row r="157" spans="1:12" x14ac:dyDescent="0.3">
      <c r="A157" s="1">
        <v>44691</v>
      </c>
      <c r="B157" t="s">
        <v>173</v>
      </c>
      <c r="C157" t="s">
        <v>8</v>
      </c>
      <c r="D157" t="s">
        <v>9</v>
      </c>
      <c r="E157" t="s">
        <v>10</v>
      </c>
      <c r="F157" s="3">
        <v>498</v>
      </c>
      <c r="G157">
        <v>105006</v>
      </c>
      <c r="H157">
        <f t="shared" si="6"/>
        <v>2022</v>
      </c>
      <c r="I157" t="str">
        <f t="shared" si="7"/>
        <v>May</v>
      </c>
      <c r="J157" t="str">
        <f t="shared" si="8"/>
        <v>Q2</v>
      </c>
      <c r="K157" t="str">
        <f>TEXT(checking_account_main[[#This Row],[Date]],"mmm-yyyy")</f>
        <v>May-2022</v>
      </c>
      <c r="L157">
        <f>_xlfn.XLOOKUP(checking_account_main[[#This Row],[Month_Year]],checking_account_main[Month_Year],checking_account_main[Balance],"",0,-1)</f>
        <v>116940</v>
      </c>
    </row>
    <row r="158" spans="1:12" x14ac:dyDescent="0.3">
      <c r="A158" s="1">
        <v>44692</v>
      </c>
      <c r="B158" t="s">
        <v>174</v>
      </c>
      <c r="C158" t="s">
        <v>8</v>
      </c>
      <c r="D158" t="s">
        <v>9</v>
      </c>
      <c r="E158" t="s">
        <v>10</v>
      </c>
      <c r="F158" s="3">
        <v>515</v>
      </c>
      <c r="G158">
        <v>105521</v>
      </c>
      <c r="H158">
        <f t="shared" si="6"/>
        <v>2022</v>
      </c>
      <c r="I158" t="str">
        <f t="shared" si="7"/>
        <v>May</v>
      </c>
      <c r="J158" t="str">
        <f t="shared" si="8"/>
        <v>Q2</v>
      </c>
      <c r="K158" t="str">
        <f>TEXT(checking_account_main[[#This Row],[Date]],"mmm-yyyy")</f>
        <v>May-2022</v>
      </c>
      <c r="L158">
        <f>_xlfn.XLOOKUP(checking_account_main[[#This Row],[Month_Year]],checking_account_main[Month_Year],checking_account_main[Balance],"",0,-1)</f>
        <v>116940</v>
      </c>
    </row>
    <row r="159" spans="1:12" x14ac:dyDescent="0.3">
      <c r="A159" s="1">
        <v>44693</v>
      </c>
      <c r="B159" t="s">
        <v>175</v>
      </c>
      <c r="C159" t="s">
        <v>8</v>
      </c>
      <c r="D159" t="s">
        <v>9</v>
      </c>
      <c r="E159" t="s">
        <v>10</v>
      </c>
      <c r="F159" s="3">
        <v>560</v>
      </c>
      <c r="G159">
        <v>106081</v>
      </c>
      <c r="H159">
        <f t="shared" si="6"/>
        <v>2022</v>
      </c>
      <c r="I159" t="str">
        <f t="shared" si="7"/>
        <v>May</v>
      </c>
      <c r="J159" t="str">
        <f t="shared" si="8"/>
        <v>Q2</v>
      </c>
      <c r="K159" t="str">
        <f>TEXT(checking_account_main[[#This Row],[Date]],"mmm-yyyy")</f>
        <v>May-2022</v>
      </c>
      <c r="L159">
        <f>_xlfn.XLOOKUP(checking_account_main[[#This Row],[Month_Year]],checking_account_main[Month_Year],checking_account_main[Balance],"",0,-1)</f>
        <v>116940</v>
      </c>
    </row>
    <row r="160" spans="1:12" x14ac:dyDescent="0.3">
      <c r="A160" s="1">
        <v>44694</v>
      </c>
      <c r="B160" t="s">
        <v>176</v>
      </c>
      <c r="C160" t="s">
        <v>8</v>
      </c>
      <c r="D160" t="s">
        <v>9</v>
      </c>
      <c r="E160" t="s">
        <v>10</v>
      </c>
      <c r="F160" s="3">
        <v>527</v>
      </c>
      <c r="G160">
        <v>106608</v>
      </c>
      <c r="H160">
        <f t="shared" si="6"/>
        <v>2022</v>
      </c>
      <c r="I160" t="str">
        <f t="shared" si="7"/>
        <v>May</v>
      </c>
      <c r="J160" t="str">
        <f t="shared" si="8"/>
        <v>Q2</v>
      </c>
      <c r="K160" t="str">
        <f>TEXT(checking_account_main[[#This Row],[Date]],"mmm-yyyy")</f>
        <v>May-2022</v>
      </c>
      <c r="L160">
        <f>_xlfn.XLOOKUP(checking_account_main[[#This Row],[Month_Year]],checking_account_main[Month_Year],checking_account_main[Balance],"",0,-1)</f>
        <v>116940</v>
      </c>
    </row>
    <row r="161" spans="1:12" x14ac:dyDescent="0.3">
      <c r="A161" s="1">
        <v>44695</v>
      </c>
      <c r="B161" t="s">
        <v>177</v>
      </c>
      <c r="C161" t="s">
        <v>8</v>
      </c>
      <c r="D161" t="s">
        <v>9</v>
      </c>
      <c r="E161" t="s">
        <v>10</v>
      </c>
      <c r="F161" s="3">
        <v>622</v>
      </c>
      <c r="G161">
        <v>107230</v>
      </c>
      <c r="H161">
        <f t="shared" si="6"/>
        <v>2022</v>
      </c>
      <c r="I161" t="str">
        <f t="shared" si="7"/>
        <v>May</v>
      </c>
      <c r="J161" t="str">
        <f t="shared" si="8"/>
        <v>Q2</v>
      </c>
      <c r="K161" t="str">
        <f>TEXT(checking_account_main[[#This Row],[Date]],"mmm-yyyy")</f>
        <v>May-2022</v>
      </c>
      <c r="L161">
        <f>_xlfn.XLOOKUP(checking_account_main[[#This Row],[Month_Year]],checking_account_main[Month_Year],checking_account_main[Balance],"",0,-1)</f>
        <v>116940</v>
      </c>
    </row>
    <row r="162" spans="1:12" x14ac:dyDescent="0.3">
      <c r="A162" s="1">
        <v>44696</v>
      </c>
      <c r="B162" t="s">
        <v>178</v>
      </c>
      <c r="C162" t="s">
        <v>8</v>
      </c>
      <c r="D162" t="s">
        <v>9</v>
      </c>
      <c r="E162" t="s">
        <v>10</v>
      </c>
      <c r="F162" s="3">
        <v>722</v>
      </c>
      <c r="G162">
        <v>107952</v>
      </c>
      <c r="H162">
        <f t="shared" si="6"/>
        <v>2022</v>
      </c>
      <c r="I162" t="str">
        <f t="shared" si="7"/>
        <v>May</v>
      </c>
      <c r="J162" t="str">
        <f t="shared" si="8"/>
        <v>Q2</v>
      </c>
      <c r="K162" t="str">
        <f>TEXT(checking_account_main[[#This Row],[Date]],"mmm-yyyy")</f>
        <v>May-2022</v>
      </c>
      <c r="L162">
        <f>_xlfn.XLOOKUP(checking_account_main[[#This Row],[Month_Year]],checking_account_main[Month_Year],checking_account_main[Balance],"",0,-1)</f>
        <v>116940</v>
      </c>
    </row>
    <row r="163" spans="1:12" x14ac:dyDescent="0.3">
      <c r="A163" s="1">
        <v>44697</v>
      </c>
      <c r="B163" t="s">
        <v>179</v>
      </c>
      <c r="C163" t="s">
        <v>8</v>
      </c>
      <c r="D163" t="s">
        <v>9</v>
      </c>
      <c r="E163" t="s">
        <v>10</v>
      </c>
      <c r="F163" s="3">
        <v>679</v>
      </c>
      <c r="G163">
        <v>108631</v>
      </c>
      <c r="H163">
        <f t="shared" si="6"/>
        <v>2022</v>
      </c>
      <c r="I163" t="str">
        <f t="shared" si="7"/>
        <v>May</v>
      </c>
      <c r="J163" t="str">
        <f t="shared" si="8"/>
        <v>Q2</v>
      </c>
      <c r="K163" t="str">
        <f>TEXT(checking_account_main[[#This Row],[Date]],"mmm-yyyy")</f>
        <v>May-2022</v>
      </c>
      <c r="L163">
        <f>_xlfn.XLOOKUP(checking_account_main[[#This Row],[Month_Year]],checking_account_main[Month_Year],checking_account_main[Balance],"",0,-1)</f>
        <v>116940</v>
      </c>
    </row>
    <row r="164" spans="1:12" x14ac:dyDescent="0.3">
      <c r="A164" s="1">
        <v>44698</v>
      </c>
      <c r="B164" t="s">
        <v>180</v>
      </c>
      <c r="C164" t="s">
        <v>8</v>
      </c>
      <c r="D164" t="s">
        <v>9</v>
      </c>
      <c r="E164" t="s">
        <v>10</v>
      </c>
      <c r="F164" s="3">
        <v>741</v>
      </c>
      <c r="G164">
        <v>109372</v>
      </c>
      <c r="H164">
        <f t="shared" si="6"/>
        <v>2022</v>
      </c>
      <c r="I164" t="str">
        <f t="shared" si="7"/>
        <v>May</v>
      </c>
      <c r="J164" t="str">
        <f t="shared" si="8"/>
        <v>Q2</v>
      </c>
      <c r="K164" t="str">
        <f>TEXT(checking_account_main[[#This Row],[Date]],"mmm-yyyy")</f>
        <v>May-2022</v>
      </c>
      <c r="L164">
        <f>_xlfn.XLOOKUP(checking_account_main[[#This Row],[Month_Year]],checking_account_main[Month_Year],checking_account_main[Balance],"",0,-1)</f>
        <v>116940</v>
      </c>
    </row>
    <row r="165" spans="1:12" x14ac:dyDescent="0.3">
      <c r="A165" s="1">
        <v>44699</v>
      </c>
      <c r="B165" t="s">
        <v>181</v>
      </c>
      <c r="C165" t="s">
        <v>8</v>
      </c>
      <c r="D165" t="s">
        <v>9</v>
      </c>
      <c r="E165" t="s">
        <v>10</v>
      </c>
      <c r="F165" s="3">
        <v>526</v>
      </c>
      <c r="G165">
        <v>109898</v>
      </c>
      <c r="H165">
        <f t="shared" si="6"/>
        <v>2022</v>
      </c>
      <c r="I165" t="str">
        <f t="shared" si="7"/>
        <v>May</v>
      </c>
      <c r="J165" t="str">
        <f t="shared" si="8"/>
        <v>Q2</v>
      </c>
      <c r="K165" t="str">
        <f>TEXT(checking_account_main[[#This Row],[Date]],"mmm-yyyy")</f>
        <v>May-2022</v>
      </c>
      <c r="L165">
        <f>_xlfn.XLOOKUP(checking_account_main[[#This Row],[Month_Year]],checking_account_main[Month_Year],checking_account_main[Balance],"",0,-1)</f>
        <v>116940</v>
      </c>
    </row>
    <row r="166" spans="1:12" x14ac:dyDescent="0.3">
      <c r="A166" s="1">
        <v>44700</v>
      </c>
      <c r="B166" t="s">
        <v>182</v>
      </c>
      <c r="C166" t="s">
        <v>8</v>
      </c>
      <c r="D166" t="s">
        <v>9</v>
      </c>
      <c r="E166" t="s">
        <v>10</v>
      </c>
      <c r="F166" s="3">
        <v>785</v>
      </c>
      <c r="G166">
        <v>110683</v>
      </c>
      <c r="H166">
        <f t="shared" si="6"/>
        <v>2022</v>
      </c>
      <c r="I166" t="str">
        <f t="shared" si="7"/>
        <v>May</v>
      </c>
      <c r="J166" t="str">
        <f t="shared" si="8"/>
        <v>Q2</v>
      </c>
      <c r="K166" t="str">
        <f>TEXT(checking_account_main[[#This Row],[Date]],"mmm-yyyy")</f>
        <v>May-2022</v>
      </c>
      <c r="L166">
        <f>_xlfn.XLOOKUP(checking_account_main[[#This Row],[Month_Year]],checking_account_main[Month_Year],checking_account_main[Balance],"",0,-1)</f>
        <v>116940</v>
      </c>
    </row>
    <row r="167" spans="1:12" x14ac:dyDescent="0.3">
      <c r="A167" s="1">
        <v>44701</v>
      </c>
      <c r="B167" t="s">
        <v>183</v>
      </c>
      <c r="C167" t="s">
        <v>8</v>
      </c>
      <c r="D167" t="s">
        <v>9</v>
      </c>
      <c r="E167" t="s">
        <v>10</v>
      </c>
      <c r="F167" s="3">
        <v>503</v>
      </c>
      <c r="G167">
        <v>111186</v>
      </c>
      <c r="H167">
        <f t="shared" si="6"/>
        <v>2022</v>
      </c>
      <c r="I167" t="str">
        <f t="shared" si="7"/>
        <v>May</v>
      </c>
      <c r="J167" t="str">
        <f t="shared" si="8"/>
        <v>Q2</v>
      </c>
      <c r="K167" t="str">
        <f>TEXT(checking_account_main[[#This Row],[Date]],"mmm-yyyy")</f>
        <v>May-2022</v>
      </c>
      <c r="L167">
        <f>_xlfn.XLOOKUP(checking_account_main[[#This Row],[Month_Year]],checking_account_main[Month_Year],checking_account_main[Balance],"",0,-1)</f>
        <v>116940</v>
      </c>
    </row>
    <row r="168" spans="1:12" x14ac:dyDescent="0.3">
      <c r="A168" s="1">
        <v>44702</v>
      </c>
      <c r="B168" t="s">
        <v>184</v>
      </c>
      <c r="C168" t="s">
        <v>8</v>
      </c>
      <c r="D168" t="s">
        <v>9</v>
      </c>
      <c r="E168" t="s">
        <v>10</v>
      </c>
      <c r="F168" s="3">
        <v>698</v>
      </c>
      <c r="G168">
        <v>111884</v>
      </c>
      <c r="H168">
        <f t="shared" si="6"/>
        <v>2022</v>
      </c>
      <c r="I168" t="str">
        <f t="shared" si="7"/>
        <v>May</v>
      </c>
      <c r="J168" t="str">
        <f t="shared" si="8"/>
        <v>Q2</v>
      </c>
      <c r="K168" t="str">
        <f>TEXT(checking_account_main[[#This Row],[Date]],"mmm-yyyy")</f>
        <v>May-2022</v>
      </c>
      <c r="L168">
        <f>_xlfn.XLOOKUP(checking_account_main[[#This Row],[Month_Year]],checking_account_main[Month_Year],checking_account_main[Balance],"",0,-1)</f>
        <v>116940</v>
      </c>
    </row>
    <row r="169" spans="1:12" x14ac:dyDescent="0.3">
      <c r="A169" s="1">
        <v>44703</v>
      </c>
      <c r="B169" t="s">
        <v>185</v>
      </c>
      <c r="C169" t="s">
        <v>8</v>
      </c>
      <c r="D169" t="s">
        <v>9</v>
      </c>
      <c r="E169" t="s">
        <v>10</v>
      </c>
      <c r="F169" s="3">
        <v>438</v>
      </c>
      <c r="G169">
        <v>112322</v>
      </c>
      <c r="H169">
        <f t="shared" si="6"/>
        <v>2022</v>
      </c>
      <c r="I169" t="str">
        <f t="shared" si="7"/>
        <v>May</v>
      </c>
      <c r="J169" t="str">
        <f t="shared" si="8"/>
        <v>Q2</v>
      </c>
      <c r="K169" t="str">
        <f>TEXT(checking_account_main[[#This Row],[Date]],"mmm-yyyy")</f>
        <v>May-2022</v>
      </c>
      <c r="L169">
        <f>_xlfn.XLOOKUP(checking_account_main[[#This Row],[Month_Year]],checking_account_main[Month_Year],checking_account_main[Balance],"",0,-1)</f>
        <v>116940</v>
      </c>
    </row>
    <row r="170" spans="1:12" x14ac:dyDescent="0.3">
      <c r="A170" s="1">
        <v>44704</v>
      </c>
      <c r="B170" t="s">
        <v>186</v>
      </c>
      <c r="C170" t="s">
        <v>8</v>
      </c>
      <c r="D170" t="s">
        <v>9</v>
      </c>
      <c r="E170" t="s">
        <v>10</v>
      </c>
      <c r="F170" s="3">
        <v>646</v>
      </c>
      <c r="G170">
        <v>112968</v>
      </c>
      <c r="H170">
        <f t="shared" si="6"/>
        <v>2022</v>
      </c>
      <c r="I170" t="str">
        <f t="shared" si="7"/>
        <v>May</v>
      </c>
      <c r="J170" t="str">
        <f t="shared" si="8"/>
        <v>Q2</v>
      </c>
      <c r="K170" t="str">
        <f>TEXT(checking_account_main[[#This Row],[Date]],"mmm-yyyy")</f>
        <v>May-2022</v>
      </c>
      <c r="L170">
        <f>_xlfn.XLOOKUP(checking_account_main[[#This Row],[Month_Year]],checking_account_main[Month_Year],checking_account_main[Balance],"",0,-1)</f>
        <v>116940</v>
      </c>
    </row>
    <row r="171" spans="1:12" x14ac:dyDescent="0.3">
      <c r="A171" s="1">
        <v>44705</v>
      </c>
      <c r="B171" t="s">
        <v>187</v>
      </c>
      <c r="C171" t="s">
        <v>8</v>
      </c>
      <c r="D171" t="s">
        <v>9</v>
      </c>
      <c r="E171" t="s">
        <v>10</v>
      </c>
      <c r="F171" s="3">
        <v>705</v>
      </c>
      <c r="G171">
        <v>113673</v>
      </c>
      <c r="H171">
        <f t="shared" si="6"/>
        <v>2022</v>
      </c>
      <c r="I171" t="str">
        <f t="shared" si="7"/>
        <v>May</v>
      </c>
      <c r="J171" t="str">
        <f t="shared" si="8"/>
        <v>Q2</v>
      </c>
      <c r="K171" t="str">
        <f>TEXT(checking_account_main[[#This Row],[Date]],"mmm-yyyy")</f>
        <v>May-2022</v>
      </c>
      <c r="L171">
        <f>_xlfn.XLOOKUP(checking_account_main[[#This Row],[Month_Year]],checking_account_main[Month_Year],checking_account_main[Balance],"",0,-1)</f>
        <v>116940</v>
      </c>
    </row>
    <row r="172" spans="1:12" x14ac:dyDescent="0.3">
      <c r="A172" s="1">
        <v>44706</v>
      </c>
      <c r="B172" t="s">
        <v>188</v>
      </c>
      <c r="C172" t="s">
        <v>8</v>
      </c>
      <c r="D172" t="s">
        <v>9</v>
      </c>
      <c r="E172" t="s">
        <v>10</v>
      </c>
      <c r="F172" s="3">
        <v>412</v>
      </c>
      <c r="G172">
        <v>114085</v>
      </c>
      <c r="H172">
        <f t="shared" si="6"/>
        <v>2022</v>
      </c>
      <c r="I172" t="str">
        <f t="shared" si="7"/>
        <v>May</v>
      </c>
      <c r="J172" t="str">
        <f t="shared" si="8"/>
        <v>Q2</v>
      </c>
      <c r="K172" t="str">
        <f>TEXT(checking_account_main[[#This Row],[Date]],"mmm-yyyy")</f>
        <v>May-2022</v>
      </c>
      <c r="L172">
        <f>_xlfn.XLOOKUP(checking_account_main[[#This Row],[Month_Year]],checking_account_main[Month_Year],checking_account_main[Balance],"",0,-1)</f>
        <v>116940</v>
      </c>
    </row>
    <row r="173" spans="1:12" x14ac:dyDescent="0.3">
      <c r="A173" s="1">
        <v>44706</v>
      </c>
      <c r="B173" t="s">
        <v>189</v>
      </c>
      <c r="C173" t="s">
        <v>28</v>
      </c>
      <c r="D173" t="s">
        <v>29</v>
      </c>
      <c r="E173" t="s">
        <v>17</v>
      </c>
      <c r="F173" s="3">
        <v>490</v>
      </c>
      <c r="G173">
        <v>113595</v>
      </c>
      <c r="H173">
        <f t="shared" si="6"/>
        <v>2022</v>
      </c>
      <c r="I173" t="str">
        <f t="shared" si="7"/>
        <v>May</v>
      </c>
      <c r="J173" t="str">
        <f t="shared" si="8"/>
        <v>Q2</v>
      </c>
      <c r="K173" t="str">
        <f>TEXT(checking_account_main[[#This Row],[Date]],"mmm-yyyy")</f>
        <v>May-2022</v>
      </c>
      <c r="L173">
        <f>_xlfn.XLOOKUP(checking_account_main[[#This Row],[Month_Year]],checking_account_main[Month_Year],checking_account_main[Balance],"",0,-1)</f>
        <v>116940</v>
      </c>
    </row>
    <row r="174" spans="1:12" x14ac:dyDescent="0.3">
      <c r="A174" s="1">
        <v>44707</v>
      </c>
      <c r="B174" t="s">
        <v>190</v>
      </c>
      <c r="C174" t="s">
        <v>8</v>
      </c>
      <c r="D174" t="s">
        <v>9</v>
      </c>
      <c r="E174" t="s">
        <v>10</v>
      </c>
      <c r="F174" s="3">
        <v>435</v>
      </c>
      <c r="G174">
        <v>114030</v>
      </c>
      <c r="H174">
        <f t="shared" si="6"/>
        <v>2022</v>
      </c>
      <c r="I174" t="str">
        <f t="shared" si="7"/>
        <v>May</v>
      </c>
      <c r="J174" t="str">
        <f t="shared" si="8"/>
        <v>Q2</v>
      </c>
      <c r="K174" t="str">
        <f>TEXT(checking_account_main[[#This Row],[Date]],"mmm-yyyy")</f>
        <v>May-2022</v>
      </c>
      <c r="L174">
        <f>_xlfn.XLOOKUP(checking_account_main[[#This Row],[Month_Year]],checking_account_main[Month_Year],checking_account_main[Balance],"",0,-1)</f>
        <v>116940</v>
      </c>
    </row>
    <row r="175" spans="1:12" x14ac:dyDescent="0.3">
      <c r="A175" s="1">
        <v>44708</v>
      </c>
      <c r="B175" t="s">
        <v>191</v>
      </c>
      <c r="C175" t="s">
        <v>8</v>
      </c>
      <c r="D175" t="s">
        <v>9</v>
      </c>
      <c r="E175" t="s">
        <v>10</v>
      </c>
      <c r="F175" s="3">
        <v>720</v>
      </c>
      <c r="G175">
        <v>114750</v>
      </c>
      <c r="H175">
        <f t="shared" si="6"/>
        <v>2022</v>
      </c>
      <c r="I175" t="str">
        <f t="shared" si="7"/>
        <v>May</v>
      </c>
      <c r="J175" t="str">
        <f t="shared" si="8"/>
        <v>Q2</v>
      </c>
      <c r="K175" t="str">
        <f>TEXT(checking_account_main[[#This Row],[Date]],"mmm-yyyy")</f>
        <v>May-2022</v>
      </c>
      <c r="L175">
        <f>_xlfn.XLOOKUP(checking_account_main[[#This Row],[Month_Year]],checking_account_main[Month_Year],checking_account_main[Balance],"",0,-1)</f>
        <v>116940</v>
      </c>
    </row>
    <row r="176" spans="1:12" x14ac:dyDescent="0.3">
      <c r="A176" s="1">
        <v>44708</v>
      </c>
      <c r="B176" t="s">
        <v>192</v>
      </c>
      <c r="C176" t="s">
        <v>22</v>
      </c>
      <c r="D176" t="s">
        <v>16</v>
      </c>
      <c r="E176" t="s">
        <v>17</v>
      </c>
      <c r="F176" s="3">
        <v>499</v>
      </c>
      <c r="G176">
        <v>114251</v>
      </c>
      <c r="H176">
        <f t="shared" si="6"/>
        <v>2022</v>
      </c>
      <c r="I176" t="str">
        <f t="shared" si="7"/>
        <v>May</v>
      </c>
      <c r="J176" t="str">
        <f t="shared" si="8"/>
        <v>Q2</v>
      </c>
      <c r="K176" t="str">
        <f>TEXT(checking_account_main[[#This Row],[Date]],"mmm-yyyy")</f>
        <v>May-2022</v>
      </c>
      <c r="L176">
        <f>_xlfn.XLOOKUP(checking_account_main[[#This Row],[Month_Year]],checking_account_main[Month_Year],checking_account_main[Balance],"",0,-1)</f>
        <v>116940</v>
      </c>
    </row>
    <row r="177" spans="1:12" x14ac:dyDescent="0.3">
      <c r="A177" s="1">
        <v>44709</v>
      </c>
      <c r="B177" t="s">
        <v>193</v>
      </c>
      <c r="C177" t="s">
        <v>8</v>
      </c>
      <c r="D177" t="s">
        <v>9</v>
      </c>
      <c r="E177" t="s">
        <v>10</v>
      </c>
      <c r="F177" s="3">
        <v>770</v>
      </c>
      <c r="G177">
        <v>115021</v>
      </c>
      <c r="H177">
        <f t="shared" si="6"/>
        <v>2022</v>
      </c>
      <c r="I177" t="str">
        <f t="shared" si="7"/>
        <v>May</v>
      </c>
      <c r="J177" t="str">
        <f t="shared" si="8"/>
        <v>Q2</v>
      </c>
      <c r="K177" t="str">
        <f>TEXT(checking_account_main[[#This Row],[Date]],"mmm-yyyy")</f>
        <v>May-2022</v>
      </c>
      <c r="L177">
        <f>_xlfn.XLOOKUP(checking_account_main[[#This Row],[Month_Year]],checking_account_main[Month_Year],checking_account_main[Balance],"",0,-1)</f>
        <v>116940</v>
      </c>
    </row>
    <row r="178" spans="1:12" x14ac:dyDescent="0.3">
      <c r="A178" s="1">
        <v>44710</v>
      </c>
      <c r="B178" t="s">
        <v>194</v>
      </c>
      <c r="C178" t="s">
        <v>8</v>
      </c>
      <c r="D178" t="s">
        <v>9</v>
      </c>
      <c r="E178" t="s">
        <v>10</v>
      </c>
      <c r="F178" s="3">
        <v>491</v>
      </c>
      <c r="G178">
        <v>115512</v>
      </c>
      <c r="H178">
        <f t="shared" si="6"/>
        <v>2022</v>
      </c>
      <c r="I178" t="str">
        <f t="shared" si="7"/>
        <v>May</v>
      </c>
      <c r="J178" t="str">
        <f t="shared" si="8"/>
        <v>Q2</v>
      </c>
      <c r="K178" t="str">
        <f>TEXT(checking_account_main[[#This Row],[Date]],"mmm-yyyy")</f>
        <v>May-2022</v>
      </c>
      <c r="L178">
        <f>_xlfn.XLOOKUP(checking_account_main[[#This Row],[Month_Year]],checking_account_main[Month_Year],checking_account_main[Balance],"",0,-1)</f>
        <v>116940</v>
      </c>
    </row>
    <row r="179" spans="1:12" x14ac:dyDescent="0.3">
      <c r="A179" s="1">
        <v>44711</v>
      </c>
      <c r="B179" t="s">
        <v>195</v>
      </c>
      <c r="C179" t="s">
        <v>8</v>
      </c>
      <c r="D179" t="s">
        <v>9</v>
      </c>
      <c r="E179" t="s">
        <v>10</v>
      </c>
      <c r="F179" s="3">
        <v>687</v>
      </c>
      <c r="G179">
        <v>116199</v>
      </c>
      <c r="H179">
        <f t="shared" si="6"/>
        <v>2022</v>
      </c>
      <c r="I179" t="str">
        <f t="shared" si="7"/>
        <v>May</v>
      </c>
      <c r="J179" t="str">
        <f t="shared" si="8"/>
        <v>Q2</v>
      </c>
      <c r="K179" t="str">
        <f>TEXT(checking_account_main[[#This Row],[Date]],"mmm-yyyy")</f>
        <v>May-2022</v>
      </c>
      <c r="L179">
        <f>_xlfn.XLOOKUP(checking_account_main[[#This Row],[Month_Year]],checking_account_main[Month_Year],checking_account_main[Balance],"",0,-1)</f>
        <v>116940</v>
      </c>
    </row>
    <row r="180" spans="1:12" x14ac:dyDescent="0.3">
      <c r="A180" s="1">
        <v>44712</v>
      </c>
      <c r="B180" t="s">
        <v>196</v>
      </c>
      <c r="C180" t="s">
        <v>8</v>
      </c>
      <c r="D180" t="s">
        <v>9</v>
      </c>
      <c r="E180" t="s">
        <v>10</v>
      </c>
      <c r="F180" s="3">
        <v>741</v>
      </c>
      <c r="G180">
        <v>116940</v>
      </c>
      <c r="H180">
        <f t="shared" si="6"/>
        <v>2022</v>
      </c>
      <c r="I180" t="str">
        <f t="shared" si="7"/>
        <v>May</v>
      </c>
      <c r="J180" t="str">
        <f t="shared" si="8"/>
        <v>Q2</v>
      </c>
      <c r="K180" t="str">
        <f>TEXT(checking_account_main[[#This Row],[Date]],"mmm-yyyy")</f>
        <v>May-2022</v>
      </c>
      <c r="L180">
        <f>_xlfn.XLOOKUP(checking_account_main[[#This Row],[Month_Year]],checking_account_main[Month_Year],checking_account_main[Balance],"",0,-1)</f>
        <v>116940</v>
      </c>
    </row>
    <row r="181" spans="1:12" x14ac:dyDescent="0.3">
      <c r="A181" s="1">
        <v>44713</v>
      </c>
      <c r="B181" t="s">
        <v>197</v>
      </c>
      <c r="C181" t="s">
        <v>8</v>
      </c>
      <c r="D181" t="s">
        <v>9</v>
      </c>
      <c r="E181" t="s">
        <v>10</v>
      </c>
      <c r="F181" s="3">
        <v>585</v>
      </c>
      <c r="G181">
        <v>117525</v>
      </c>
      <c r="H181">
        <f t="shared" si="6"/>
        <v>2022</v>
      </c>
      <c r="I181" t="str">
        <f t="shared" si="7"/>
        <v>June</v>
      </c>
      <c r="J181" t="str">
        <f t="shared" si="8"/>
        <v>Q2</v>
      </c>
      <c r="K181" t="str">
        <f>TEXT(checking_account_main[[#This Row],[Date]],"mmm-yyyy")</f>
        <v>Jun-2022</v>
      </c>
      <c r="L181">
        <f>_xlfn.XLOOKUP(checking_account_main[[#This Row],[Month_Year]],checking_account_main[Month_Year],checking_account_main[Balance],"",0,-1)</f>
        <v>131937</v>
      </c>
    </row>
    <row r="182" spans="1:12" x14ac:dyDescent="0.3">
      <c r="A182" s="1">
        <v>44714</v>
      </c>
      <c r="B182" t="s">
        <v>198</v>
      </c>
      <c r="C182" t="s">
        <v>8</v>
      </c>
      <c r="D182" t="s">
        <v>9</v>
      </c>
      <c r="E182" t="s">
        <v>10</v>
      </c>
      <c r="F182" s="3">
        <v>524</v>
      </c>
      <c r="G182">
        <v>118049</v>
      </c>
      <c r="H182">
        <f t="shared" si="6"/>
        <v>2022</v>
      </c>
      <c r="I182" t="str">
        <f t="shared" si="7"/>
        <v>June</v>
      </c>
      <c r="J182" t="str">
        <f t="shared" si="8"/>
        <v>Q2</v>
      </c>
      <c r="K182" t="str">
        <f>TEXT(checking_account_main[[#This Row],[Date]],"mmm-yyyy")</f>
        <v>Jun-2022</v>
      </c>
      <c r="L182">
        <f>_xlfn.XLOOKUP(checking_account_main[[#This Row],[Month_Year]],checking_account_main[Month_Year],checking_account_main[Balance],"",0,-1)</f>
        <v>131937</v>
      </c>
    </row>
    <row r="183" spans="1:12" x14ac:dyDescent="0.3">
      <c r="A183" s="1">
        <v>44715</v>
      </c>
      <c r="B183" t="s">
        <v>199</v>
      </c>
      <c r="C183" t="s">
        <v>8</v>
      </c>
      <c r="D183" t="s">
        <v>9</v>
      </c>
      <c r="E183" t="s">
        <v>10</v>
      </c>
      <c r="F183" s="3">
        <v>457</v>
      </c>
      <c r="G183">
        <v>118506</v>
      </c>
      <c r="H183">
        <f t="shared" si="6"/>
        <v>2022</v>
      </c>
      <c r="I183" t="str">
        <f t="shared" si="7"/>
        <v>June</v>
      </c>
      <c r="J183" t="str">
        <f t="shared" si="8"/>
        <v>Q2</v>
      </c>
      <c r="K183" t="str">
        <f>TEXT(checking_account_main[[#This Row],[Date]],"mmm-yyyy")</f>
        <v>Jun-2022</v>
      </c>
      <c r="L183">
        <f>_xlfn.XLOOKUP(checking_account_main[[#This Row],[Month_Year]],checking_account_main[Month_Year],checking_account_main[Balance],"",0,-1)</f>
        <v>131937</v>
      </c>
    </row>
    <row r="184" spans="1:12" x14ac:dyDescent="0.3">
      <c r="A184" s="1">
        <v>44715</v>
      </c>
      <c r="B184" t="s">
        <v>200</v>
      </c>
      <c r="C184" t="s">
        <v>47</v>
      </c>
      <c r="D184" t="s">
        <v>29</v>
      </c>
      <c r="E184" t="s">
        <v>17</v>
      </c>
      <c r="F184" s="3">
        <v>279</v>
      </c>
      <c r="G184">
        <v>118227</v>
      </c>
      <c r="H184">
        <f t="shared" si="6"/>
        <v>2022</v>
      </c>
      <c r="I184" t="str">
        <f t="shared" si="7"/>
        <v>June</v>
      </c>
      <c r="J184" t="str">
        <f t="shared" si="8"/>
        <v>Q2</v>
      </c>
      <c r="K184" t="str">
        <f>TEXT(checking_account_main[[#This Row],[Date]],"mmm-yyyy")</f>
        <v>Jun-2022</v>
      </c>
      <c r="L184">
        <f>_xlfn.XLOOKUP(checking_account_main[[#This Row],[Month_Year]],checking_account_main[Month_Year],checking_account_main[Balance],"",0,-1)</f>
        <v>131937</v>
      </c>
    </row>
    <row r="185" spans="1:12" x14ac:dyDescent="0.3">
      <c r="A185" s="1">
        <v>44716</v>
      </c>
      <c r="B185" t="s">
        <v>201</v>
      </c>
      <c r="C185" t="s">
        <v>8</v>
      </c>
      <c r="D185" t="s">
        <v>9</v>
      </c>
      <c r="E185" t="s">
        <v>10</v>
      </c>
      <c r="F185" s="3">
        <v>725</v>
      </c>
      <c r="G185">
        <v>118952</v>
      </c>
      <c r="H185">
        <f t="shared" si="6"/>
        <v>2022</v>
      </c>
      <c r="I185" t="str">
        <f t="shared" si="7"/>
        <v>June</v>
      </c>
      <c r="J185" t="str">
        <f t="shared" si="8"/>
        <v>Q2</v>
      </c>
      <c r="K185" t="str">
        <f>TEXT(checking_account_main[[#This Row],[Date]],"mmm-yyyy")</f>
        <v>Jun-2022</v>
      </c>
      <c r="L185">
        <f>_xlfn.XLOOKUP(checking_account_main[[#This Row],[Month_Year]],checking_account_main[Month_Year],checking_account_main[Balance],"",0,-1)</f>
        <v>131937</v>
      </c>
    </row>
    <row r="186" spans="1:12" x14ac:dyDescent="0.3">
      <c r="A186" s="1">
        <v>44717</v>
      </c>
      <c r="B186" t="s">
        <v>202</v>
      </c>
      <c r="C186" t="s">
        <v>8</v>
      </c>
      <c r="D186" t="s">
        <v>9</v>
      </c>
      <c r="E186" t="s">
        <v>10</v>
      </c>
      <c r="F186" s="3">
        <v>500</v>
      </c>
      <c r="G186">
        <v>119452</v>
      </c>
      <c r="H186">
        <f t="shared" si="6"/>
        <v>2022</v>
      </c>
      <c r="I186" t="str">
        <f t="shared" si="7"/>
        <v>June</v>
      </c>
      <c r="J186" t="str">
        <f t="shared" si="8"/>
        <v>Q2</v>
      </c>
      <c r="K186" t="str">
        <f>TEXT(checking_account_main[[#This Row],[Date]],"mmm-yyyy")</f>
        <v>Jun-2022</v>
      </c>
      <c r="L186">
        <f>_xlfn.XLOOKUP(checking_account_main[[#This Row],[Month_Year]],checking_account_main[Month_Year],checking_account_main[Balance],"",0,-1)</f>
        <v>131937</v>
      </c>
    </row>
    <row r="187" spans="1:12" x14ac:dyDescent="0.3">
      <c r="A187" s="1">
        <v>44718</v>
      </c>
      <c r="B187" t="s">
        <v>203</v>
      </c>
      <c r="C187" t="s">
        <v>8</v>
      </c>
      <c r="D187" t="s">
        <v>9</v>
      </c>
      <c r="E187" t="s">
        <v>10</v>
      </c>
      <c r="F187" s="3">
        <v>452</v>
      </c>
      <c r="G187">
        <v>119904</v>
      </c>
      <c r="H187">
        <f t="shared" si="6"/>
        <v>2022</v>
      </c>
      <c r="I187" t="str">
        <f t="shared" si="7"/>
        <v>June</v>
      </c>
      <c r="J187" t="str">
        <f t="shared" si="8"/>
        <v>Q2</v>
      </c>
      <c r="K187" t="str">
        <f>TEXT(checking_account_main[[#This Row],[Date]],"mmm-yyyy")</f>
        <v>Jun-2022</v>
      </c>
      <c r="L187">
        <f>_xlfn.XLOOKUP(checking_account_main[[#This Row],[Month_Year]],checking_account_main[Month_Year],checking_account_main[Balance],"",0,-1)</f>
        <v>131937</v>
      </c>
    </row>
    <row r="188" spans="1:12" x14ac:dyDescent="0.3">
      <c r="A188" s="1">
        <v>44719</v>
      </c>
      <c r="B188" t="s">
        <v>204</v>
      </c>
      <c r="C188" t="s">
        <v>8</v>
      </c>
      <c r="D188" t="s">
        <v>9</v>
      </c>
      <c r="E188" t="s">
        <v>10</v>
      </c>
      <c r="F188" s="3">
        <v>507</v>
      </c>
      <c r="G188">
        <v>120411</v>
      </c>
      <c r="H188">
        <f t="shared" si="6"/>
        <v>2022</v>
      </c>
      <c r="I188" t="str">
        <f t="shared" si="7"/>
        <v>June</v>
      </c>
      <c r="J188" t="str">
        <f t="shared" si="8"/>
        <v>Q2</v>
      </c>
      <c r="K188" t="str">
        <f>TEXT(checking_account_main[[#This Row],[Date]],"mmm-yyyy")</f>
        <v>Jun-2022</v>
      </c>
      <c r="L188">
        <f>_xlfn.XLOOKUP(checking_account_main[[#This Row],[Month_Year]],checking_account_main[Month_Year],checking_account_main[Balance],"",0,-1)</f>
        <v>131937</v>
      </c>
    </row>
    <row r="189" spans="1:12" x14ac:dyDescent="0.3">
      <c r="A189" s="1">
        <v>44720</v>
      </c>
      <c r="B189" t="s">
        <v>205</v>
      </c>
      <c r="C189" t="s">
        <v>8</v>
      </c>
      <c r="D189" t="s">
        <v>9</v>
      </c>
      <c r="E189" t="s">
        <v>10</v>
      </c>
      <c r="F189" s="3">
        <v>595</v>
      </c>
      <c r="G189">
        <v>121006</v>
      </c>
      <c r="H189">
        <f t="shared" si="6"/>
        <v>2022</v>
      </c>
      <c r="I189" t="str">
        <f t="shared" si="7"/>
        <v>June</v>
      </c>
      <c r="J189" t="str">
        <f t="shared" si="8"/>
        <v>Q2</v>
      </c>
      <c r="K189" t="str">
        <f>TEXT(checking_account_main[[#This Row],[Date]],"mmm-yyyy")</f>
        <v>Jun-2022</v>
      </c>
      <c r="L189">
        <f>_xlfn.XLOOKUP(checking_account_main[[#This Row],[Month_Year]],checking_account_main[Month_Year],checking_account_main[Balance],"",0,-1)</f>
        <v>131937</v>
      </c>
    </row>
    <row r="190" spans="1:12" x14ac:dyDescent="0.3">
      <c r="A190" s="1">
        <v>44721</v>
      </c>
      <c r="B190" t="s">
        <v>206</v>
      </c>
      <c r="C190" t="s">
        <v>8</v>
      </c>
      <c r="D190" t="s">
        <v>9</v>
      </c>
      <c r="E190" t="s">
        <v>10</v>
      </c>
      <c r="F190" s="3">
        <v>771</v>
      </c>
      <c r="G190">
        <v>121777</v>
      </c>
      <c r="H190">
        <f t="shared" si="6"/>
        <v>2022</v>
      </c>
      <c r="I190" t="str">
        <f t="shared" si="7"/>
        <v>June</v>
      </c>
      <c r="J190" t="str">
        <f t="shared" si="8"/>
        <v>Q2</v>
      </c>
      <c r="K190" t="str">
        <f>TEXT(checking_account_main[[#This Row],[Date]],"mmm-yyyy")</f>
        <v>Jun-2022</v>
      </c>
      <c r="L190">
        <f>_xlfn.XLOOKUP(checking_account_main[[#This Row],[Month_Year]],checking_account_main[Month_Year],checking_account_main[Balance],"",0,-1)</f>
        <v>131937</v>
      </c>
    </row>
    <row r="191" spans="1:12" x14ac:dyDescent="0.3">
      <c r="A191" s="1">
        <v>44722</v>
      </c>
      <c r="B191" t="s">
        <v>207</v>
      </c>
      <c r="C191" t="s">
        <v>8</v>
      </c>
      <c r="D191" t="s">
        <v>9</v>
      </c>
      <c r="E191" t="s">
        <v>10</v>
      </c>
      <c r="F191" s="3">
        <v>754</v>
      </c>
      <c r="G191">
        <v>122531</v>
      </c>
      <c r="H191">
        <f t="shared" si="6"/>
        <v>2022</v>
      </c>
      <c r="I191" t="str">
        <f t="shared" si="7"/>
        <v>June</v>
      </c>
      <c r="J191" t="str">
        <f t="shared" si="8"/>
        <v>Q2</v>
      </c>
      <c r="K191" t="str">
        <f>TEXT(checking_account_main[[#This Row],[Date]],"mmm-yyyy")</f>
        <v>Jun-2022</v>
      </c>
      <c r="L191">
        <f>_xlfn.XLOOKUP(checking_account_main[[#This Row],[Month_Year]],checking_account_main[Month_Year],checking_account_main[Balance],"",0,-1)</f>
        <v>131937</v>
      </c>
    </row>
    <row r="192" spans="1:12" x14ac:dyDescent="0.3">
      <c r="A192" s="1">
        <v>44723</v>
      </c>
      <c r="B192" t="s">
        <v>208</v>
      </c>
      <c r="C192" t="s">
        <v>8</v>
      </c>
      <c r="D192" t="s">
        <v>9</v>
      </c>
      <c r="E192" t="s">
        <v>10</v>
      </c>
      <c r="F192" s="3">
        <v>707</v>
      </c>
      <c r="G192">
        <v>123238</v>
      </c>
      <c r="H192">
        <f t="shared" si="6"/>
        <v>2022</v>
      </c>
      <c r="I192" t="str">
        <f t="shared" si="7"/>
        <v>June</v>
      </c>
      <c r="J192" t="str">
        <f t="shared" si="8"/>
        <v>Q2</v>
      </c>
      <c r="K192" t="str">
        <f>TEXT(checking_account_main[[#This Row],[Date]],"mmm-yyyy")</f>
        <v>Jun-2022</v>
      </c>
      <c r="L192">
        <f>_xlfn.XLOOKUP(checking_account_main[[#This Row],[Month_Year]],checking_account_main[Month_Year],checking_account_main[Balance],"",0,-1)</f>
        <v>131937</v>
      </c>
    </row>
    <row r="193" spans="1:12" x14ac:dyDescent="0.3">
      <c r="A193" s="1">
        <v>44723</v>
      </c>
      <c r="B193" t="s">
        <v>209</v>
      </c>
      <c r="C193" t="s">
        <v>22</v>
      </c>
      <c r="D193" t="s">
        <v>16</v>
      </c>
      <c r="E193" t="s">
        <v>17</v>
      </c>
      <c r="F193" s="3">
        <v>469</v>
      </c>
      <c r="G193">
        <v>122769</v>
      </c>
      <c r="H193">
        <f t="shared" si="6"/>
        <v>2022</v>
      </c>
      <c r="I193" t="str">
        <f t="shared" si="7"/>
        <v>June</v>
      </c>
      <c r="J193" t="str">
        <f t="shared" si="8"/>
        <v>Q2</v>
      </c>
      <c r="K193" t="str">
        <f>TEXT(checking_account_main[[#This Row],[Date]],"mmm-yyyy")</f>
        <v>Jun-2022</v>
      </c>
      <c r="L193">
        <f>_xlfn.XLOOKUP(checking_account_main[[#This Row],[Month_Year]],checking_account_main[Month_Year],checking_account_main[Balance],"",0,-1)</f>
        <v>131937</v>
      </c>
    </row>
    <row r="194" spans="1:12" x14ac:dyDescent="0.3">
      <c r="A194" s="1">
        <v>44724</v>
      </c>
      <c r="B194" t="s">
        <v>210</v>
      </c>
      <c r="C194" t="s">
        <v>8</v>
      </c>
      <c r="D194" t="s">
        <v>9</v>
      </c>
      <c r="E194" t="s">
        <v>10</v>
      </c>
      <c r="F194" s="3">
        <v>505</v>
      </c>
      <c r="G194">
        <v>123274</v>
      </c>
      <c r="H194">
        <f t="shared" ref="H194:H257" si="9">YEAR(A194)</f>
        <v>2022</v>
      </c>
      <c r="I194" t="str">
        <f t="shared" ref="I194:I257" si="10">TEXT(A194,"mmmm")</f>
        <v>June</v>
      </c>
      <c r="J194" t="str">
        <f t="shared" ref="J194:J257" si="11">"Q"&amp;ROUNDUP(MONTH(A194)/3,0)</f>
        <v>Q2</v>
      </c>
      <c r="K194" t="str">
        <f>TEXT(checking_account_main[[#This Row],[Date]],"mmm-yyyy")</f>
        <v>Jun-2022</v>
      </c>
      <c r="L194">
        <f>_xlfn.XLOOKUP(checking_account_main[[#This Row],[Month_Year]],checking_account_main[Month_Year],checking_account_main[Balance],"",0,-1)</f>
        <v>131937</v>
      </c>
    </row>
    <row r="195" spans="1:12" x14ac:dyDescent="0.3">
      <c r="A195" s="1">
        <v>44725</v>
      </c>
      <c r="B195" t="s">
        <v>211</v>
      </c>
      <c r="C195" t="s">
        <v>8</v>
      </c>
      <c r="D195" t="s">
        <v>9</v>
      </c>
      <c r="E195" t="s">
        <v>10</v>
      </c>
      <c r="F195" s="3">
        <v>544</v>
      </c>
      <c r="G195">
        <v>123818</v>
      </c>
      <c r="H195">
        <f t="shared" si="9"/>
        <v>2022</v>
      </c>
      <c r="I195" t="str">
        <f t="shared" si="10"/>
        <v>June</v>
      </c>
      <c r="J195" t="str">
        <f t="shared" si="11"/>
        <v>Q2</v>
      </c>
      <c r="K195" t="str">
        <f>TEXT(checking_account_main[[#This Row],[Date]],"mmm-yyyy")</f>
        <v>Jun-2022</v>
      </c>
      <c r="L195">
        <f>_xlfn.XLOOKUP(checking_account_main[[#This Row],[Month_Year]],checking_account_main[Month_Year],checking_account_main[Balance],"",0,-1)</f>
        <v>131937</v>
      </c>
    </row>
    <row r="196" spans="1:12" x14ac:dyDescent="0.3">
      <c r="A196" s="1">
        <v>44726</v>
      </c>
      <c r="B196" t="s">
        <v>212</v>
      </c>
      <c r="C196" t="s">
        <v>8</v>
      </c>
      <c r="D196" t="s">
        <v>9</v>
      </c>
      <c r="E196" t="s">
        <v>10</v>
      </c>
      <c r="F196" s="3">
        <v>674</v>
      </c>
      <c r="G196">
        <v>124492</v>
      </c>
      <c r="H196">
        <f t="shared" si="9"/>
        <v>2022</v>
      </c>
      <c r="I196" t="str">
        <f t="shared" si="10"/>
        <v>June</v>
      </c>
      <c r="J196" t="str">
        <f t="shared" si="11"/>
        <v>Q2</v>
      </c>
      <c r="K196" t="str">
        <f>TEXT(checking_account_main[[#This Row],[Date]],"mmm-yyyy")</f>
        <v>Jun-2022</v>
      </c>
      <c r="L196">
        <f>_xlfn.XLOOKUP(checking_account_main[[#This Row],[Month_Year]],checking_account_main[Month_Year],checking_account_main[Balance],"",0,-1)</f>
        <v>131937</v>
      </c>
    </row>
    <row r="197" spans="1:12" x14ac:dyDescent="0.3">
      <c r="A197" s="1">
        <v>44727</v>
      </c>
      <c r="B197" t="s">
        <v>213</v>
      </c>
      <c r="C197" t="s">
        <v>8</v>
      </c>
      <c r="D197" t="s">
        <v>9</v>
      </c>
      <c r="E197" t="s">
        <v>10</v>
      </c>
      <c r="F197" s="3">
        <v>745</v>
      </c>
      <c r="G197">
        <v>125237</v>
      </c>
      <c r="H197">
        <f t="shared" si="9"/>
        <v>2022</v>
      </c>
      <c r="I197" t="str">
        <f t="shared" si="10"/>
        <v>June</v>
      </c>
      <c r="J197" t="str">
        <f t="shared" si="11"/>
        <v>Q2</v>
      </c>
      <c r="K197" t="str">
        <f>TEXT(checking_account_main[[#This Row],[Date]],"mmm-yyyy")</f>
        <v>Jun-2022</v>
      </c>
      <c r="L197">
        <f>_xlfn.XLOOKUP(checking_account_main[[#This Row],[Month_Year]],checking_account_main[Month_Year],checking_account_main[Balance],"",0,-1)</f>
        <v>131937</v>
      </c>
    </row>
    <row r="198" spans="1:12" x14ac:dyDescent="0.3">
      <c r="A198" s="1">
        <v>44727</v>
      </c>
      <c r="B198" t="s">
        <v>214</v>
      </c>
      <c r="C198" t="s">
        <v>28</v>
      </c>
      <c r="D198" t="s">
        <v>29</v>
      </c>
      <c r="E198" t="s">
        <v>17</v>
      </c>
      <c r="F198" s="3">
        <v>216</v>
      </c>
      <c r="G198">
        <v>125021</v>
      </c>
      <c r="H198">
        <f t="shared" si="9"/>
        <v>2022</v>
      </c>
      <c r="I198" t="str">
        <f t="shared" si="10"/>
        <v>June</v>
      </c>
      <c r="J198" t="str">
        <f t="shared" si="11"/>
        <v>Q2</v>
      </c>
      <c r="K198" t="str">
        <f>TEXT(checking_account_main[[#This Row],[Date]],"mmm-yyyy")</f>
        <v>Jun-2022</v>
      </c>
      <c r="L198">
        <f>_xlfn.XLOOKUP(checking_account_main[[#This Row],[Month_Year]],checking_account_main[Month_Year],checking_account_main[Balance],"",0,-1)</f>
        <v>131937</v>
      </c>
    </row>
    <row r="199" spans="1:12" x14ac:dyDescent="0.3">
      <c r="A199" s="1">
        <v>44728</v>
      </c>
      <c r="B199" t="s">
        <v>215</v>
      </c>
      <c r="C199" t="s">
        <v>8</v>
      </c>
      <c r="D199" t="s">
        <v>9</v>
      </c>
      <c r="E199" t="s">
        <v>10</v>
      </c>
      <c r="F199" s="3">
        <v>795</v>
      </c>
      <c r="G199">
        <v>125816</v>
      </c>
      <c r="H199">
        <f t="shared" si="9"/>
        <v>2022</v>
      </c>
      <c r="I199" t="str">
        <f t="shared" si="10"/>
        <v>June</v>
      </c>
      <c r="J199" t="str">
        <f t="shared" si="11"/>
        <v>Q2</v>
      </c>
      <c r="K199" t="str">
        <f>TEXT(checking_account_main[[#This Row],[Date]],"mmm-yyyy")</f>
        <v>Jun-2022</v>
      </c>
      <c r="L199">
        <f>_xlfn.XLOOKUP(checking_account_main[[#This Row],[Month_Year]],checking_account_main[Month_Year],checking_account_main[Balance],"",0,-1)</f>
        <v>131937</v>
      </c>
    </row>
    <row r="200" spans="1:12" x14ac:dyDescent="0.3">
      <c r="A200" s="1">
        <v>44729</v>
      </c>
      <c r="B200" t="s">
        <v>216</v>
      </c>
      <c r="C200" t="s">
        <v>8</v>
      </c>
      <c r="D200" t="s">
        <v>9</v>
      </c>
      <c r="E200" t="s">
        <v>10</v>
      </c>
      <c r="F200" s="3">
        <v>457</v>
      </c>
      <c r="G200">
        <v>126273</v>
      </c>
      <c r="H200">
        <f t="shared" si="9"/>
        <v>2022</v>
      </c>
      <c r="I200" t="str">
        <f t="shared" si="10"/>
        <v>June</v>
      </c>
      <c r="J200" t="str">
        <f t="shared" si="11"/>
        <v>Q2</v>
      </c>
      <c r="K200" t="str">
        <f>TEXT(checking_account_main[[#This Row],[Date]],"mmm-yyyy")</f>
        <v>Jun-2022</v>
      </c>
      <c r="L200">
        <f>_xlfn.XLOOKUP(checking_account_main[[#This Row],[Month_Year]],checking_account_main[Month_Year],checking_account_main[Balance],"",0,-1)</f>
        <v>131937</v>
      </c>
    </row>
    <row r="201" spans="1:12" x14ac:dyDescent="0.3">
      <c r="A201" s="1">
        <v>44730</v>
      </c>
      <c r="B201" t="s">
        <v>217</v>
      </c>
      <c r="C201" t="s">
        <v>8</v>
      </c>
      <c r="D201" t="s">
        <v>9</v>
      </c>
      <c r="E201" t="s">
        <v>10</v>
      </c>
      <c r="F201" s="3">
        <v>638</v>
      </c>
      <c r="G201">
        <v>126911</v>
      </c>
      <c r="H201">
        <f t="shared" si="9"/>
        <v>2022</v>
      </c>
      <c r="I201" t="str">
        <f t="shared" si="10"/>
        <v>June</v>
      </c>
      <c r="J201" t="str">
        <f t="shared" si="11"/>
        <v>Q2</v>
      </c>
      <c r="K201" t="str">
        <f>TEXT(checking_account_main[[#This Row],[Date]],"mmm-yyyy")</f>
        <v>Jun-2022</v>
      </c>
      <c r="L201">
        <f>_xlfn.XLOOKUP(checking_account_main[[#This Row],[Month_Year]],checking_account_main[Month_Year],checking_account_main[Balance],"",0,-1)</f>
        <v>131937</v>
      </c>
    </row>
    <row r="202" spans="1:12" x14ac:dyDescent="0.3">
      <c r="A202" s="1">
        <v>44731</v>
      </c>
      <c r="B202" t="s">
        <v>218</v>
      </c>
      <c r="C202" t="s">
        <v>8</v>
      </c>
      <c r="D202" t="s">
        <v>9</v>
      </c>
      <c r="E202" t="s">
        <v>10</v>
      </c>
      <c r="F202" s="3">
        <v>525</v>
      </c>
      <c r="G202">
        <v>127436</v>
      </c>
      <c r="H202">
        <f t="shared" si="9"/>
        <v>2022</v>
      </c>
      <c r="I202" t="str">
        <f t="shared" si="10"/>
        <v>June</v>
      </c>
      <c r="J202" t="str">
        <f t="shared" si="11"/>
        <v>Q2</v>
      </c>
      <c r="K202" t="str">
        <f>TEXT(checking_account_main[[#This Row],[Date]],"mmm-yyyy")</f>
        <v>Jun-2022</v>
      </c>
      <c r="L202">
        <f>_xlfn.XLOOKUP(checking_account_main[[#This Row],[Month_Year]],checking_account_main[Month_Year],checking_account_main[Balance],"",0,-1)</f>
        <v>131937</v>
      </c>
    </row>
    <row r="203" spans="1:12" x14ac:dyDescent="0.3">
      <c r="A203" s="1">
        <v>44731</v>
      </c>
      <c r="B203" t="s">
        <v>219</v>
      </c>
      <c r="C203" t="s">
        <v>74</v>
      </c>
      <c r="D203" t="s">
        <v>16</v>
      </c>
      <c r="E203" t="s">
        <v>17</v>
      </c>
      <c r="F203" s="3">
        <v>188</v>
      </c>
      <c r="G203">
        <v>127248</v>
      </c>
      <c r="H203">
        <f t="shared" si="9"/>
        <v>2022</v>
      </c>
      <c r="I203" t="str">
        <f t="shared" si="10"/>
        <v>June</v>
      </c>
      <c r="J203" t="str">
        <f t="shared" si="11"/>
        <v>Q2</v>
      </c>
      <c r="K203" t="str">
        <f>TEXT(checking_account_main[[#This Row],[Date]],"mmm-yyyy")</f>
        <v>Jun-2022</v>
      </c>
      <c r="L203">
        <f>_xlfn.XLOOKUP(checking_account_main[[#This Row],[Month_Year]],checking_account_main[Month_Year],checking_account_main[Balance],"",0,-1)</f>
        <v>131937</v>
      </c>
    </row>
    <row r="204" spans="1:12" x14ac:dyDescent="0.3">
      <c r="A204" s="1">
        <v>44732</v>
      </c>
      <c r="B204" t="s">
        <v>220</v>
      </c>
      <c r="C204" t="s">
        <v>8</v>
      </c>
      <c r="D204" t="s">
        <v>9</v>
      </c>
      <c r="E204" t="s">
        <v>10</v>
      </c>
      <c r="F204" s="3">
        <v>772</v>
      </c>
      <c r="G204">
        <v>128020</v>
      </c>
      <c r="H204">
        <f t="shared" si="9"/>
        <v>2022</v>
      </c>
      <c r="I204" t="str">
        <f t="shared" si="10"/>
        <v>June</v>
      </c>
      <c r="J204" t="str">
        <f t="shared" si="11"/>
        <v>Q2</v>
      </c>
      <c r="K204" t="str">
        <f>TEXT(checking_account_main[[#This Row],[Date]],"mmm-yyyy")</f>
        <v>Jun-2022</v>
      </c>
      <c r="L204">
        <f>_xlfn.XLOOKUP(checking_account_main[[#This Row],[Month_Year]],checking_account_main[Month_Year],checking_account_main[Balance],"",0,-1)</f>
        <v>131937</v>
      </c>
    </row>
    <row r="205" spans="1:12" x14ac:dyDescent="0.3">
      <c r="A205" s="1">
        <v>44733</v>
      </c>
      <c r="B205" t="s">
        <v>221</v>
      </c>
      <c r="C205" t="s">
        <v>8</v>
      </c>
      <c r="D205" t="s">
        <v>9</v>
      </c>
      <c r="E205" t="s">
        <v>10</v>
      </c>
      <c r="F205" s="3">
        <v>588</v>
      </c>
      <c r="G205">
        <v>128608</v>
      </c>
      <c r="H205">
        <f t="shared" si="9"/>
        <v>2022</v>
      </c>
      <c r="I205" t="str">
        <f t="shared" si="10"/>
        <v>June</v>
      </c>
      <c r="J205" t="str">
        <f t="shared" si="11"/>
        <v>Q2</v>
      </c>
      <c r="K205" t="str">
        <f>TEXT(checking_account_main[[#This Row],[Date]],"mmm-yyyy")</f>
        <v>Jun-2022</v>
      </c>
      <c r="L205">
        <f>_xlfn.XLOOKUP(checking_account_main[[#This Row],[Month_Year]],checking_account_main[Month_Year],checking_account_main[Balance],"",0,-1)</f>
        <v>131937</v>
      </c>
    </row>
    <row r="206" spans="1:12" x14ac:dyDescent="0.3">
      <c r="A206" s="1">
        <v>44734</v>
      </c>
      <c r="B206" t="s">
        <v>222</v>
      </c>
      <c r="C206" t="s">
        <v>8</v>
      </c>
      <c r="D206" t="s">
        <v>9</v>
      </c>
      <c r="E206" t="s">
        <v>10</v>
      </c>
      <c r="F206" s="3">
        <v>468</v>
      </c>
      <c r="G206">
        <v>129076</v>
      </c>
      <c r="H206">
        <f t="shared" si="9"/>
        <v>2022</v>
      </c>
      <c r="I206" t="str">
        <f t="shared" si="10"/>
        <v>June</v>
      </c>
      <c r="J206" t="str">
        <f t="shared" si="11"/>
        <v>Q2</v>
      </c>
      <c r="K206" t="str">
        <f>TEXT(checking_account_main[[#This Row],[Date]],"mmm-yyyy")</f>
        <v>Jun-2022</v>
      </c>
      <c r="L206">
        <f>_xlfn.XLOOKUP(checking_account_main[[#This Row],[Month_Year]],checking_account_main[Month_Year],checking_account_main[Balance],"",0,-1)</f>
        <v>131937</v>
      </c>
    </row>
    <row r="207" spans="1:12" x14ac:dyDescent="0.3">
      <c r="A207" s="1">
        <v>44735</v>
      </c>
      <c r="B207" t="s">
        <v>223</v>
      </c>
      <c r="C207" t="s">
        <v>8</v>
      </c>
      <c r="D207" t="s">
        <v>9</v>
      </c>
      <c r="E207" t="s">
        <v>10</v>
      </c>
      <c r="F207" s="3">
        <v>646</v>
      </c>
      <c r="G207">
        <v>129722</v>
      </c>
      <c r="H207">
        <f t="shared" si="9"/>
        <v>2022</v>
      </c>
      <c r="I207" t="str">
        <f t="shared" si="10"/>
        <v>June</v>
      </c>
      <c r="J207" t="str">
        <f t="shared" si="11"/>
        <v>Q2</v>
      </c>
      <c r="K207" t="str">
        <f>TEXT(checking_account_main[[#This Row],[Date]],"mmm-yyyy")</f>
        <v>Jun-2022</v>
      </c>
      <c r="L207">
        <f>_xlfn.XLOOKUP(checking_account_main[[#This Row],[Month_Year]],checking_account_main[Month_Year],checking_account_main[Balance],"",0,-1)</f>
        <v>131937</v>
      </c>
    </row>
    <row r="208" spans="1:12" x14ac:dyDescent="0.3">
      <c r="A208" s="1">
        <v>44735</v>
      </c>
      <c r="B208" t="s">
        <v>224</v>
      </c>
      <c r="C208" t="s">
        <v>15</v>
      </c>
      <c r="D208" t="s">
        <v>16</v>
      </c>
      <c r="E208" t="s">
        <v>17</v>
      </c>
      <c r="F208" s="3">
        <v>253</v>
      </c>
      <c r="G208">
        <v>129469</v>
      </c>
      <c r="H208">
        <f t="shared" si="9"/>
        <v>2022</v>
      </c>
      <c r="I208" t="str">
        <f t="shared" si="10"/>
        <v>June</v>
      </c>
      <c r="J208" t="str">
        <f t="shared" si="11"/>
        <v>Q2</v>
      </c>
      <c r="K208" t="str">
        <f>TEXT(checking_account_main[[#This Row],[Date]],"mmm-yyyy")</f>
        <v>Jun-2022</v>
      </c>
      <c r="L208">
        <f>_xlfn.XLOOKUP(checking_account_main[[#This Row],[Month_Year]],checking_account_main[Month_Year],checking_account_main[Balance],"",0,-1)</f>
        <v>131937</v>
      </c>
    </row>
    <row r="209" spans="1:12" x14ac:dyDescent="0.3">
      <c r="A209" s="1">
        <v>44736</v>
      </c>
      <c r="B209" t="s">
        <v>225</v>
      </c>
      <c r="C209" t="s">
        <v>8</v>
      </c>
      <c r="D209" t="s">
        <v>9</v>
      </c>
      <c r="E209" t="s">
        <v>10</v>
      </c>
      <c r="F209" s="3">
        <v>485</v>
      </c>
      <c r="G209">
        <v>129954</v>
      </c>
      <c r="H209">
        <f t="shared" si="9"/>
        <v>2022</v>
      </c>
      <c r="I209" t="str">
        <f t="shared" si="10"/>
        <v>June</v>
      </c>
      <c r="J209" t="str">
        <f t="shared" si="11"/>
        <v>Q2</v>
      </c>
      <c r="K209" t="str">
        <f>TEXT(checking_account_main[[#This Row],[Date]],"mmm-yyyy")</f>
        <v>Jun-2022</v>
      </c>
      <c r="L209">
        <f>_xlfn.XLOOKUP(checking_account_main[[#This Row],[Month_Year]],checking_account_main[Month_Year],checking_account_main[Balance],"",0,-1)</f>
        <v>131937</v>
      </c>
    </row>
    <row r="210" spans="1:12" x14ac:dyDescent="0.3">
      <c r="A210" s="1">
        <v>44736</v>
      </c>
      <c r="B210" t="s">
        <v>226</v>
      </c>
      <c r="C210" t="s">
        <v>74</v>
      </c>
      <c r="D210" t="s">
        <v>16</v>
      </c>
      <c r="E210" t="s">
        <v>17</v>
      </c>
      <c r="F210" s="3">
        <v>319</v>
      </c>
      <c r="G210">
        <v>129635</v>
      </c>
      <c r="H210">
        <f t="shared" si="9"/>
        <v>2022</v>
      </c>
      <c r="I210" t="str">
        <f t="shared" si="10"/>
        <v>June</v>
      </c>
      <c r="J210" t="str">
        <f t="shared" si="11"/>
        <v>Q2</v>
      </c>
      <c r="K210" t="str">
        <f>TEXT(checking_account_main[[#This Row],[Date]],"mmm-yyyy")</f>
        <v>Jun-2022</v>
      </c>
      <c r="L210">
        <f>_xlfn.XLOOKUP(checking_account_main[[#This Row],[Month_Year]],checking_account_main[Month_Year],checking_account_main[Balance],"",0,-1)</f>
        <v>131937</v>
      </c>
    </row>
    <row r="211" spans="1:12" x14ac:dyDescent="0.3">
      <c r="A211" s="1">
        <v>44737</v>
      </c>
      <c r="B211" t="s">
        <v>227</v>
      </c>
      <c r="C211" t="s">
        <v>8</v>
      </c>
      <c r="D211" t="s">
        <v>9</v>
      </c>
      <c r="E211" t="s">
        <v>10</v>
      </c>
      <c r="F211" s="3">
        <v>446</v>
      </c>
      <c r="G211">
        <v>130081</v>
      </c>
      <c r="H211">
        <f t="shared" si="9"/>
        <v>2022</v>
      </c>
      <c r="I211" t="str">
        <f t="shared" si="10"/>
        <v>June</v>
      </c>
      <c r="J211" t="str">
        <f t="shared" si="11"/>
        <v>Q2</v>
      </c>
      <c r="K211" t="str">
        <f>TEXT(checking_account_main[[#This Row],[Date]],"mmm-yyyy")</f>
        <v>Jun-2022</v>
      </c>
      <c r="L211">
        <f>_xlfn.XLOOKUP(checking_account_main[[#This Row],[Month_Year]],checking_account_main[Month_Year],checking_account_main[Balance],"",0,-1)</f>
        <v>131937</v>
      </c>
    </row>
    <row r="212" spans="1:12" x14ac:dyDescent="0.3">
      <c r="A212" s="1">
        <v>44737</v>
      </c>
      <c r="B212" t="s">
        <v>228</v>
      </c>
      <c r="C212" t="s">
        <v>22</v>
      </c>
      <c r="D212" t="s">
        <v>16</v>
      </c>
      <c r="E212" t="s">
        <v>17</v>
      </c>
      <c r="F212" s="3">
        <v>337</v>
      </c>
      <c r="G212">
        <v>129744</v>
      </c>
      <c r="H212">
        <f t="shared" si="9"/>
        <v>2022</v>
      </c>
      <c r="I212" t="str">
        <f t="shared" si="10"/>
        <v>June</v>
      </c>
      <c r="J212" t="str">
        <f t="shared" si="11"/>
        <v>Q2</v>
      </c>
      <c r="K212" t="str">
        <f>TEXT(checking_account_main[[#This Row],[Date]],"mmm-yyyy")</f>
        <v>Jun-2022</v>
      </c>
      <c r="L212">
        <f>_xlfn.XLOOKUP(checking_account_main[[#This Row],[Month_Year]],checking_account_main[Month_Year],checking_account_main[Balance],"",0,-1)</f>
        <v>131937</v>
      </c>
    </row>
    <row r="213" spans="1:12" x14ac:dyDescent="0.3">
      <c r="A213" s="1">
        <v>44738</v>
      </c>
      <c r="B213" t="s">
        <v>229</v>
      </c>
      <c r="C213" t="s">
        <v>8</v>
      </c>
      <c r="D213" t="s">
        <v>9</v>
      </c>
      <c r="E213" t="s">
        <v>10</v>
      </c>
      <c r="F213" s="3">
        <v>603</v>
      </c>
      <c r="G213">
        <v>130347</v>
      </c>
      <c r="H213">
        <f t="shared" si="9"/>
        <v>2022</v>
      </c>
      <c r="I213" t="str">
        <f t="shared" si="10"/>
        <v>June</v>
      </c>
      <c r="J213" t="str">
        <f t="shared" si="11"/>
        <v>Q2</v>
      </c>
      <c r="K213" t="str">
        <f>TEXT(checking_account_main[[#This Row],[Date]],"mmm-yyyy")</f>
        <v>Jun-2022</v>
      </c>
      <c r="L213">
        <f>_xlfn.XLOOKUP(checking_account_main[[#This Row],[Month_Year]],checking_account_main[Month_Year],checking_account_main[Balance],"",0,-1)</f>
        <v>131937</v>
      </c>
    </row>
    <row r="214" spans="1:12" x14ac:dyDescent="0.3">
      <c r="A214" s="1">
        <v>44738</v>
      </c>
      <c r="B214" t="s">
        <v>230</v>
      </c>
      <c r="C214" t="s">
        <v>22</v>
      </c>
      <c r="D214" t="s">
        <v>16</v>
      </c>
      <c r="E214" t="s">
        <v>17</v>
      </c>
      <c r="F214" s="3">
        <v>440</v>
      </c>
      <c r="G214">
        <v>129907</v>
      </c>
      <c r="H214">
        <f t="shared" si="9"/>
        <v>2022</v>
      </c>
      <c r="I214" t="str">
        <f t="shared" si="10"/>
        <v>June</v>
      </c>
      <c r="J214" t="str">
        <f t="shared" si="11"/>
        <v>Q2</v>
      </c>
      <c r="K214" t="str">
        <f>TEXT(checking_account_main[[#This Row],[Date]],"mmm-yyyy")</f>
        <v>Jun-2022</v>
      </c>
      <c r="L214">
        <f>_xlfn.XLOOKUP(checking_account_main[[#This Row],[Month_Year]],checking_account_main[Month_Year],checking_account_main[Balance],"",0,-1)</f>
        <v>131937</v>
      </c>
    </row>
    <row r="215" spans="1:12" x14ac:dyDescent="0.3">
      <c r="A215" s="1">
        <v>44739</v>
      </c>
      <c r="B215" t="s">
        <v>231</v>
      </c>
      <c r="C215" t="s">
        <v>8</v>
      </c>
      <c r="D215" t="s">
        <v>9</v>
      </c>
      <c r="E215" t="s">
        <v>10</v>
      </c>
      <c r="F215" s="3">
        <v>688</v>
      </c>
      <c r="G215">
        <v>130595</v>
      </c>
      <c r="H215">
        <f t="shared" si="9"/>
        <v>2022</v>
      </c>
      <c r="I215" t="str">
        <f t="shared" si="10"/>
        <v>June</v>
      </c>
      <c r="J215" t="str">
        <f t="shared" si="11"/>
        <v>Q2</v>
      </c>
      <c r="K215" t="str">
        <f>TEXT(checking_account_main[[#This Row],[Date]],"mmm-yyyy")</f>
        <v>Jun-2022</v>
      </c>
      <c r="L215">
        <f>_xlfn.XLOOKUP(checking_account_main[[#This Row],[Month_Year]],checking_account_main[Month_Year],checking_account_main[Balance],"",0,-1)</f>
        <v>131937</v>
      </c>
    </row>
    <row r="216" spans="1:12" x14ac:dyDescent="0.3">
      <c r="A216" s="1">
        <v>44740</v>
      </c>
      <c r="B216" t="s">
        <v>232</v>
      </c>
      <c r="C216" t="s">
        <v>8</v>
      </c>
      <c r="D216" t="s">
        <v>9</v>
      </c>
      <c r="E216" t="s">
        <v>10</v>
      </c>
      <c r="F216" s="3">
        <v>756</v>
      </c>
      <c r="G216">
        <v>131351</v>
      </c>
      <c r="H216">
        <f t="shared" si="9"/>
        <v>2022</v>
      </c>
      <c r="I216" t="str">
        <f t="shared" si="10"/>
        <v>June</v>
      </c>
      <c r="J216" t="str">
        <f t="shared" si="11"/>
        <v>Q2</v>
      </c>
      <c r="K216" t="str">
        <f>TEXT(checking_account_main[[#This Row],[Date]],"mmm-yyyy")</f>
        <v>Jun-2022</v>
      </c>
      <c r="L216">
        <f>_xlfn.XLOOKUP(checking_account_main[[#This Row],[Month_Year]],checking_account_main[Month_Year],checking_account_main[Balance],"",0,-1)</f>
        <v>131937</v>
      </c>
    </row>
    <row r="217" spans="1:12" x14ac:dyDescent="0.3">
      <c r="A217" s="1">
        <v>44741</v>
      </c>
      <c r="B217" t="s">
        <v>233</v>
      </c>
      <c r="C217" t="s">
        <v>8</v>
      </c>
      <c r="D217" t="s">
        <v>9</v>
      </c>
      <c r="E217" t="s">
        <v>10</v>
      </c>
      <c r="F217" s="3">
        <v>409</v>
      </c>
      <c r="G217">
        <v>131760</v>
      </c>
      <c r="H217">
        <f t="shared" si="9"/>
        <v>2022</v>
      </c>
      <c r="I217" t="str">
        <f t="shared" si="10"/>
        <v>June</v>
      </c>
      <c r="J217" t="str">
        <f t="shared" si="11"/>
        <v>Q2</v>
      </c>
      <c r="K217" t="str">
        <f>TEXT(checking_account_main[[#This Row],[Date]],"mmm-yyyy")</f>
        <v>Jun-2022</v>
      </c>
      <c r="L217">
        <f>_xlfn.XLOOKUP(checking_account_main[[#This Row],[Month_Year]],checking_account_main[Month_Year],checking_account_main[Balance],"",0,-1)</f>
        <v>131937</v>
      </c>
    </row>
    <row r="218" spans="1:12" x14ac:dyDescent="0.3">
      <c r="A218" s="1">
        <v>44742</v>
      </c>
      <c r="B218" t="s">
        <v>234</v>
      </c>
      <c r="C218" t="s">
        <v>8</v>
      </c>
      <c r="D218" t="s">
        <v>9</v>
      </c>
      <c r="E218" t="s">
        <v>10</v>
      </c>
      <c r="F218" s="3">
        <v>499</v>
      </c>
      <c r="G218">
        <v>132259</v>
      </c>
      <c r="H218">
        <f t="shared" si="9"/>
        <v>2022</v>
      </c>
      <c r="I218" t="str">
        <f t="shared" si="10"/>
        <v>June</v>
      </c>
      <c r="J218" t="str">
        <f t="shared" si="11"/>
        <v>Q2</v>
      </c>
      <c r="K218" t="str">
        <f>TEXT(checking_account_main[[#This Row],[Date]],"mmm-yyyy")</f>
        <v>Jun-2022</v>
      </c>
      <c r="L218">
        <f>_xlfn.XLOOKUP(checking_account_main[[#This Row],[Month_Year]],checking_account_main[Month_Year],checking_account_main[Balance],"",0,-1)</f>
        <v>131937</v>
      </c>
    </row>
    <row r="219" spans="1:12" x14ac:dyDescent="0.3">
      <c r="A219" s="1">
        <v>44742</v>
      </c>
      <c r="B219" t="s">
        <v>235</v>
      </c>
      <c r="C219" t="s">
        <v>47</v>
      </c>
      <c r="D219" t="s">
        <v>29</v>
      </c>
      <c r="E219" t="s">
        <v>17</v>
      </c>
      <c r="F219" s="3">
        <v>322</v>
      </c>
      <c r="G219">
        <v>131937</v>
      </c>
      <c r="H219">
        <f t="shared" si="9"/>
        <v>2022</v>
      </c>
      <c r="I219" t="str">
        <f t="shared" si="10"/>
        <v>June</v>
      </c>
      <c r="J219" t="str">
        <f t="shared" si="11"/>
        <v>Q2</v>
      </c>
      <c r="K219" t="str">
        <f>TEXT(checking_account_main[[#This Row],[Date]],"mmm-yyyy")</f>
        <v>Jun-2022</v>
      </c>
      <c r="L219">
        <f>_xlfn.XLOOKUP(checking_account_main[[#This Row],[Month_Year]],checking_account_main[Month_Year],checking_account_main[Balance],"",0,-1)</f>
        <v>131937</v>
      </c>
    </row>
    <row r="220" spans="1:12" x14ac:dyDescent="0.3">
      <c r="A220" s="1">
        <v>44743</v>
      </c>
      <c r="B220" t="s">
        <v>236</v>
      </c>
      <c r="C220" t="s">
        <v>8</v>
      </c>
      <c r="D220" t="s">
        <v>9</v>
      </c>
      <c r="E220" t="s">
        <v>10</v>
      </c>
      <c r="F220" s="3">
        <v>749</v>
      </c>
      <c r="G220">
        <v>132686</v>
      </c>
      <c r="H220">
        <f t="shared" si="9"/>
        <v>2022</v>
      </c>
      <c r="I220" t="str">
        <f t="shared" si="10"/>
        <v>July</v>
      </c>
      <c r="J220" t="str">
        <f t="shared" si="11"/>
        <v>Q3</v>
      </c>
      <c r="K220" t="str">
        <f>TEXT(checking_account_main[[#This Row],[Date]],"mmm-yyyy")</f>
        <v>Jul-2022</v>
      </c>
      <c r="L220">
        <f>_xlfn.XLOOKUP(checking_account_main[[#This Row],[Month_Year]],checking_account_main[Month_Year],checking_account_main[Balance],"",0,-1)</f>
        <v>153390</v>
      </c>
    </row>
    <row r="221" spans="1:12" x14ac:dyDescent="0.3">
      <c r="A221" s="1">
        <v>44744</v>
      </c>
      <c r="B221" t="s">
        <v>237</v>
      </c>
      <c r="C221" t="s">
        <v>8</v>
      </c>
      <c r="D221" t="s">
        <v>9</v>
      </c>
      <c r="E221" t="s">
        <v>10</v>
      </c>
      <c r="F221" s="3">
        <v>595</v>
      </c>
      <c r="G221">
        <v>133281</v>
      </c>
      <c r="H221">
        <f t="shared" si="9"/>
        <v>2022</v>
      </c>
      <c r="I221" t="str">
        <f t="shared" si="10"/>
        <v>July</v>
      </c>
      <c r="J221" t="str">
        <f t="shared" si="11"/>
        <v>Q3</v>
      </c>
      <c r="K221" t="str">
        <f>TEXT(checking_account_main[[#This Row],[Date]],"mmm-yyyy")</f>
        <v>Jul-2022</v>
      </c>
      <c r="L221">
        <f>_xlfn.XLOOKUP(checking_account_main[[#This Row],[Month_Year]],checking_account_main[Month_Year],checking_account_main[Balance],"",0,-1)</f>
        <v>153390</v>
      </c>
    </row>
    <row r="222" spans="1:12" x14ac:dyDescent="0.3">
      <c r="A222" s="1">
        <v>44745</v>
      </c>
      <c r="B222" t="s">
        <v>238</v>
      </c>
      <c r="C222" t="s">
        <v>8</v>
      </c>
      <c r="D222" t="s">
        <v>9</v>
      </c>
      <c r="E222" t="s">
        <v>10</v>
      </c>
      <c r="F222" s="3">
        <v>824</v>
      </c>
      <c r="G222">
        <v>134105</v>
      </c>
      <c r="H222">
        <f t="shared" si="9"/>
        <v>2022</v>
      </c>
      <c r="I222" t="str">
        <f t="shared" si="10"/>
        <v>July</v>
      </c>
      <c r="J222" t="str">
        <f t="shared" si="11"/>
        <v>Q3</v>
      </c>
      <c r="K222" t="str">
        <f>TEXT(checking_account_main[[#This Row],[Date]],"mmm-yyyy")</f>
        <v>Jul-2022</v>
      </c>
      <c r="L222">
        <f>_xlfn.XLOOKUP(checking_account_main[[#This Row],[Month_Year]],checking_account_main[Month_Year],checking_account_main[Balance],"",0,-1)</f>
        <v>153390</v>
      </c>
    </row>
    <row r="223" spans="1:12" x14ac:dyDescent="0.3">
      <c r="A223" s="1">
        <v>44746</v>
      </c>
      <c r="B223" t="s">
        <v>239</v>
      </c>
      <c r="C223" t="s">
        <v>8</v>
      </c>
      <c r="D223" t="s">
        <v>9</v>
      </c>
      <c r="E223" t="s">
        <v>10</v>
      </c>
      <c r="F223" s="3">
        <v>515</v>
      </c>
      <c r="G223">
        <v>134620</v>
      </c>
      <c r="H223">
        <f t="shared" si="9"/>
        <v>2022</v>
      </c>
      <c r="I223" t="str">
        <f t="shared" si="10"/>
        <v>July</v>
      </c>
      <c r="J223" t="str">
        <f t="shared" si="11"/>
        <v>Q3</v>
      </c>
      <c r="K223" t="str">
        <f>TEXT(checking_account_main[[#This Row],[Date]],"mmm-yyyy")</f>
        <v>Jul-2022</v>
      </c>
      <c r="L223">
        <f>_xlfn.XLOOKUP(checking_account_main[[#This Row],[Month_Year]],checking_account_main[Month_Year],checking_account_main[Balance],"",0,-1)</f>
        <v>153390</v>
      </c>
    </row>
    <row r="224" spans="1:12" x14ac:dyDescent="0.3">
      <c r="A224" s="1">
        <v>44746</v>
      </c>
      <c r="B224" t="s">
        <v>240</v>
      </c>
      <c r="C224" t="s">
        <v>47</v>
      </c>
      <c r="D224" t="s">
        <v>29</v>
      </c>
      <c r="E224" t="s">
        <v>17</v>
      </c>
      <c r="F224" s="3">
        <v>346</v>
      </c>
      <c r="G224">
        <v>134274</v>
      </c>
      <c r="H224">
        <f t="shared" si="9"/>
        <v>2022</v>
      </c>
      <c r="I224" t="str">
        <f t="shared" si="10"/>
        <v>July</v>
      </c>
      <c r="J224" t="str">
        <f t="shared" si="11"/>
        <v>Q3</v>
      </c>
      <c r="K224" t="str">
        <f>TEXT(checking_account_main[[#This Row],[Date]],"mmm-yyyy")</f>
        <v>Jul-2022</v>
      </c>
      <c r="L224">
        <f>_xlfn.XLOOKUP(checking_account_main[[#This Row],[Month_Year]],checking_account_main[Month_Year],checking_account_main[Balance],"",0,-1)</f>
        <v>153390</v>
      </c>
    </row>
    <row r="225" spans="1:12" x14ac:dyDescent="0.3">
      <c r="A225" s="1">
        <v>44747</v>
      </c>
      <c r="B225" t="s">
        <v>241</v>
      </c>
      <c r="C225" t="s">
        <v>8</v>
      </c>
      <c r="D225" t="s">
        <v>9</v>
      </c>
      <c r="E225" t="s">
        <v>10</v>
      </c>
      <c r="F225" s="3">
        <v>996</v>
      </c>
      <c r="G225">
        <v>135270</v>
      </c>
      <c r="H225">
        <f t="shared" si="9"/>
        <v>2022</v>
      </c>
      <c r="I225" t="str">
        <f t="shared" si="10"/>
        <v>July</v>
      </c>
      <c r="J225" t="str">
        <f t="shared" si="11"/>
        <v>Q3</v>
      </c>
      <c r="K225" t="str">
        <f>TEXT(checking_account_main[[#This Row],[Date]],"mmm-yyyy")</f>
        <v>Jul-2022</v>
      </c>
      <c r="L225">
        <f>_xlfn.XLOOKUP(checking_account_main[[#This Row],[Month_Year]],checking_account_main[Month_Year],checking_account_main[Balance],"",0,-1)</f>
        <v>153390</v>
      </c>
    </row>
    <row r="226" spans="1:12" x14ac:dyDescent="0.3">
      <c r="A226" s="1">
        <v>44748</v>
      </c>
      <c r="B226" t="s">
        <v>242</v>
      </c>
      <c r="C226" t="s">
        <v>8</v>
      </c>
      <c r="D226" t="s">
        <v>9</v>
      </c>
      <c r="E226" t="s">
        <v>10</v>
      </c>
      <c r="F226" s="3">
        <v>659</v>
      </c>
      <c r="G226">
        <v>135929</v>
      </c>
      <c r="H226">
        <f t="shared" si="9"/>
        <v>2022</v>
      </c>
      <c r="I226" t="str">
        <f t="shared" si="10"/>
        <v>July</v>
      </c>
      <c r="J226" t="str">
        <f t="shared" si="11"/>
        <v>Q3</v>
      </c>
      <c r="K226" t="str">
        <f>TEXT(checking_account_main[[#This Row],[Date]],"mmm-yyyy")</f>
        <v>Jul-2022</v>
      </c>
      <c r="L226">
        <f>_xlfn.XLOOKUP(checking_account_main[[#This Row],[Month_Year]],checking_account_main[Month_Year],checking_account_main[Balance],"",0,-1)</f>
        <v>153390</v>
      </c>
    </row>
    <row r="227" spans="1:12" x14ac:dyDescent="0.3">
      <c r="A227" s="1">
        <v>44749</v>
      </c>
      <c r="B227" t="s">
        <v>243</v>
      </c>
      <c r="C227" t="s">
        <v>8</v>
      </c>
      <c r="D227" t="s">
        <v>9</v>
      </c>
      <c r="E227" t="s">
        <v>10</v>
      </c>
      <c r="F227" s="3">
        <v>651</v>
      </c>
      <c r="G227">
        <v>136580</v>
      </c>
      <c r="H227">
        <f t="shared" si="9"/>
        <v>2022</v>
      </c>
      <c r="I227" t="str">
        <f t="shared" si="10"/>
        <v>July</v>
      </c>
      <c r="J227" t="str">
        <f t="shared" si="11"/>
        <v>Q3</v>
      </c>
      <c r="K227" t="str">
        <f>TEXT(checking_account_main[[#This Row],[Date]],"mmm-yyyy")</f>
        <v>Jul-2022</v>
      </c>
      <c r="L227">
        <f>_xlfn.XLOOKUP(checking_account_main[[#This Row],[Month_Year]],checking_account_main[Month_Year],checking_account_main[Balance],"",0,-1)</f>
        <v>153390</v>
      </c>
    </row>
    <row r="228" spans="1:12" x14ac:dyDescent="0.3">
      <c r="A228" s="1">
        <v>44750</v>
      </c>
      <c r="B228" t="s">
        <v>244</v>
      </c>
      <c r="C228" t="s">
        <v>8</v>
      </c>
      <c r="D228" t="s">
        <v>9</v>
      </c>
      <c r="E228" t="s">
        <v>10</v>
      </c>
      <c r="F228" s="3">
        <v>662</v>
      </c>
      <c r="G228">
        <v>137242</v>
      </c>
      <c r="H228">
        <f t="shared" si="9"/>
        <v>2022</v>
      </c>
      <c r="I228" t="str">
        <f t="shared" si="10"/>
        <v>July</v>
      </c>
      <c r="J228" t="str">
        <f t="shared" si="11"/>
        <v>Q3</v>
      </c>
      <c r="K228" t="str">
        <f>TEXT(checking_account_main[[#This Row],[Date]],"mmm-yyyy")</f>
        <v>Jul-2022</v>
      </c>
      <c r="L228">
        <f>_xlfn.XLOOKUP(checking_account_main[[#This Row],[Month_Year]],checking_account_main[Month_Year],checking_account_main[Balance],"",0,-1)</f>
        <v>153390</v>
      </c>
    </row>
    <row r="229" spans="1:12" x14ac:dyDescent="0.3">
      <c r="A229" s="1">
        <v>44751</v>
      </c>
      <c r="B229" t="s">
        <v>245</v>
      </c>
      <c r="C229" t="s">
        <v>8</v>
      </c>
      <c r="D229" t="s">
        <v>9</v>
      </c>
      <c r="E229" t="s">
        <v>10</v>
      </c>
      <c r="F229" s="3">
        <v>916</v>
      </c>
      <c r="G229">
        <v>138158</v>
      </c>
      <c r="H229">
        <f t="shared" si="9"/>
        <v>2022</v>
      </c>
      <c r="I229" t="str">
        <f t="shared" si="10"/>
        <v>July</v>
      </c>
      <c r="J229" t="str">
        <f t="shared" si="11"/>
        <v>Q3</v>
      </c>
      <c r="K229" t="str">
        <f>TEXT(checking_account_main[[#This Row],[Date]],"mmm-yyyy")</f>
        <v>Jul-2022</v>
      </c>
      <c r="L229">
        <f>_xlfn.XLOOKUP(checking_account_main[[#This Row],[Month_Year]],checking_account_main[Month_Year],checking_account_main[Balance],"",0,-1)</f>
        <v>153390</v>
      </c>
    </row>
    <row r="230" spans="1:12" x14ac:dyDescent="0.3">
      <c r="A230" s="1">
        <v>44752</v>
      </c>
      <c r="B230" t="s">
        <v>246</v>
      </c>
      <c r="C230" t="s">
        <v>8</v>
      </c>
      <c r="D230" t="s">
        <v>9</v>
      </c>
      <c r="E230" t="s">
        <v>10</v>
      </c>
      <c r="F230" s="3">
        <v>926</v>
      </c>
      <c r="G230">
        <v>139084</v>
      </c>
      <c r="H230">
        <f t="shared" si="9"/>
        <v>2022</v>
      </c>
      <c r="I230" t="str">
        <f t="shared" si="10"/>
        <v>July</v>
      </c>
      <c r="J230" t="str">
        <f t="shared" si="11"/>
        <v>Q3</v>
      </c>
      <c r="K230" t="str">
        <f>TEXT(checking_account_main[[#This Row],[Date]],"mmm-yyyy")</f>
        <v>Jul-2022</v>
      </c>
      <c r="L230">
        <f>_xlfn.XLOOKUP(checking_account_main[[#This Row],[Month_Year]],checking_account_main[Month_Year],checking_account_main[Balance],"",0,-1)</f>
        <v>153390</v>
      </c>
    </row>
    <row r="231" spans="1:12" x14ac:dyDescent="0.3">
      <c r="A231" s="1">
        <v>44753</v>
      </c>
      <c r="B231" t="s">
        <v>247</v>
      </c>
      <c r="C231" t="s">
        <v>8</v>
      </c>
      <c r="D231" t="s">
        <v>9</v>
      </c>
      <c r="E231" t="s">
        <v>10</v>
      </c>
      <c r="F231" s="3">
        <v>822</v>
      </c>
      <c r="G231">
        <v>139906</v>
      </c>
      <c r="H231">
        <f t="shared" si="9"/>
        <v>2022</v>
      </c>
      <c r="I231" t="str">
        <f t="shared" si="10"/>
        <v>July</v>
      </c>
      <c r="J231" t="str">
        <f t="shared" si="11"/>
        <v>Q3</v>
      </c>
      <c r="K231" t="str">
        <f>TEXT(checking_account_main[[#This Row],[Date]],"mmm-yyyy")</f>
        <v>Jul-2022</v>
      </c>
      <c r="L231">
        <f>_xlfn.XLOOKUP(checking_account_main[[#This Row],[Month_Year]],checking_account_main[Month_Year],checking_account_main[Balance],"",0,-1)</f>
        <v>153390</v>
      </c>
    </row>
    <row r="232" spans="1:12" x14ac:dyDescent="0.3">
      <c r="A232" s="1">
        <v>44754</v>
      </c>
      <c r="B232" t="s">
        <v>248</v>
      </c>
      <c r="C232" t="s">
        <v>8</v>
      </c>
      <c r="D232" t="s">
        <v>9</v>
      </c>
      <c r="E232" t="s">
        <v>10</v>
      </c>
      <c r="F232" s="3">
        <v>667</v>
      </c>
      <c r="G232">
        <v>140573</v>
      </c>
      <c r="H232">
        <f t="shared" si="9"/>
        <v>2022</v>
      </c>
      <c r="I232" t="str">
        <f t="shared" si="10"/>
        <v>July</v>
      </c>
      <c r="J232" t="str">
        <f t="shared" si="11"/>
        <v>Q3</v>
      </c>
      <c r="K232" t="str">
        <f>TEXT(checking_account_main[[#This Row],[Date]],"mmm-yyyy")</f>
        <v>Jul-2022</v>
      </c>
      <c r="L232">
        <f>_xlfn.XLOOKUP(checking_account_main[[#This Row],[Month_Year]],checking_account_main[Month_Year],checking_account_main[Balance],"",0,-1)</f>
        <v>153390</v>
      </c>
    </row>
    <row r="233" spans="1:12" x14ac:dyDescent="0.3">
      <c r="A233" s="1">
        <v>44755</v>
      </c>
      <c r="B233" t="s">
        <v>249</v>
      </c>
      <c r="C233" t="s">
        <v>8</v>
      </c>
      <c r="D233" t="s">
        <v>9</v>
      </c>
      <c r="E233" t="s">
        <v>10</v>
      </c>
      <c r="F233" s="3">
        <v>543</v>
      </c>
      <c r="G233">
        <v>141116</v>
      </c>
      <c r="H233">
        <f t="shared" si="9"/>
        <v>2022</v>
      </c>
      <c r="I233" t="str">
        <f t="shared" si="10"/>
        <v>July</v>
      </c>
      <c r="J233" t="str">
        <f t="shared" si="11"/>
        <v>Q3</v>
      </c>
      <c r="K233" t="str">
        <f>TEXT(checking_account_main[[#This Row],[Date]],"mmm-yyyy")</f>
        <v>Jul-2022</v>
      </c>
      <c r="L233">
        <f>_xlfn.XLOOKUP(checking_account_main[[#This Row],[Month_Year]],checking_account_main[Month_Year],checking_account_main[Balance],"",0,-1)</f>
        <v>153390</v>
      </c>
    </row>
    <row r="234" spans="1:12" x14ac:dyDescent="0.3">
      <c r="A234" s="1">
        <v>44756</v>
      </c>
      <c r="B234" t="s">
        <v>250</v>
      </c>
      <c r="C234" t="s">
        <v>8</v>
      </c>
      <c r="D234" t="s">
        <v>9</v>
      </c>
      <c r="E234" t="s">
        <v>10</v>
      </c>
      <c r="F234" s="3">
        <v>511</v>
      </c>
      <c r="G234">
        <v>141627</v>
      </c>
      <c r="H234">
        <f t="shared" si="9"/>
        <v>2022</v>
      </c>
      <c r="I234" t="str">
        <f t="shared" si="10"/>
        <v>July</v>
      </c>
      <c r="J234" t="str">
        <f t="shared" si="11"/>
        <v>Q3</v>
      </c>
      <c r="K234" t="str">
        <f>TEXT(checking_account_main[[#This Row],[Date]],"mmm-yyyy")</f>
        <v>Jul-2022</v>
      </c>
      <c r="L234">
        <f>_xlfn.XLOOKUP(checking_account_main[[#This Row],[Month_Year]],checking_account_main[Month_Year],checking_account_main[Balance],"",0,-1)</f>
        <v>153390</v>
      </c>
    </row>
    <row r="235" spans="1:12" x14ac:dyDescent="0.3">
      <c r="A235" s="1">
        <v>44756</v>
      </c>
      <c r="B235" t="s">
        <v>251</v>
      </c>
      <c r="C235" t="s">
        <v>74</v>
      </c>
      <c r="D235" t="s">
        <v>16</v>
      </c>
      <c r="E235" t="s">
        <v>17</v>
      </c>
      <c r="F235" s="3">
        <v>485</v>
      </c>
      <c r="G235">
        <v>141142</v>
      </c>
      <c r="H235">
        <f t="shared" si="9"/>
        <v>2022</v>
      </c>
      <c r="I235" t="str">
        <f t="shared" si="10"/>
        <v>July</v>
      </c>
      <c r="J235" t="str">
        <f t="shared" si="11"/>
        <v>Q3</v>
      </c>
      <c r="K235" t="str">
        <f>TEXT(checking_account_main[[#This Row],[Date]],"mmm-yyyy")</f>
        <v>Jul-2022</v>
      </c>
      <c r="L235">
        <f>_xlfn.XLOOKUP(checking_account_main[[#This Row],[Month_Year]],checking_account_main[Month_Year],checking_account_main[Balance],"",0,-1)</f>
        <v>153390</v>
      </c>
    </row>
    <row r="236" spans="1:12" x14ac:dyDescent="0.3">
      <c r="A236" s="1">
        <v>44757</v>
      </c>
      <c r="B236" t="s">
        <v>252</v>
      </c>
      <c r="C236" t="s">
        <v>8</v>
      </c>
      <c r="D236" t="s">
        <v>9</v>
      </c>
      <c r="E236" t="s">
        <v>10</v>
      </c>
      <c r="F236" s="3">
        <v>998</v>
      </c>
      <c r="G236">
        <v>142140</v>
      </c>
      <c r="H236">
        <f t="shared" si="9"/>
        <v>2022</v>
      </c>
      <c r="I236" t="str">
        <f t="shared" si="10"/>
        <v>July</v>
      </c>
      <c r="J236" t="str">
        <f t="shared" si="11"/>
        <v>Q3</v>
      </c>
      <c r="K236" t="str">
        <f>TEXT(checking_account_main[[#This Row],[Date]],"mmm-yyyy")</f>
        <v>Jul-2022</v>
      </c>
      <c r="L236">
        <f>_xlfn.XLOOKUP(checking_account_main[[#This Row],[Month_Year]],checking_account_main[Month_Year],checking_account_main[Balance],"",0,-1)</f>
        <v>153390</v>
      </c>
    </row>
    <row r="237" spans="1:12" x14ac:dyDescent="0.3">
      <c r="A237" s="1">
        <v>44758</v>
      </c>
      <c r="B237" t="s">
        <v>253</v>
      </c>
      <c r="C237" t="s">
        <v>8</v>
      </c>
      <c r="D237" t="s">
        <v>9</v>
      </c>
      <c r="E237" t="s">
        <v>10</v>
      </c>
      <c r="F237" s="3">
        <v>714</v>
      </c>
      <c r="G237">
        <v>142854</v>
      </c>
      <c r="H237">
        <f t="shared" si="9"/>
        <v>2022</v>
      </c>
      <c r="I237" t="str">
        <f t="shared" si="10"/>
        <v>July</v>
      </c>
      <c r="J237" t="str">
        <f t="shared" si="11"/>
        <v>Q3</v>
      </c>
      <c r="K237" t="str">
        <f>TEXT(checking_account_main[[#This Row],[Date]],"mmm-yyyy")</f>
        <v>Jul-2022</v>
      </c>
      <c r="L237">
        <f>_xlfn.XLOOKUP(checking_account_main[[#This Row],[Month_Year]],checking_account_main[Month_Year],checking_account_main[Balance],"",0,-1)</f>
        <v>153390</v>
      </c>
    </row>
    <row r="238" spans="1:12" x14ac:dyDescent="0.3">
      <c r="A238" s="1">
        <v>44758</v>
      </c>
      <c r="B238" t="s">
        <v>254</v>
      </c>
      <c r="C238" t="s">
        <v>74</v>
      </c>
      <c r="D238" t="s">
        <v>16</v>
      </c>
      <c r="E238" t="s">
        <v>17</v>
      </c>
      <c r="F238" s="3">
        <v>363</v>
      </c>
      <c r="G238">
        <v>142491</v>
      </c>
      <c r="H238">
        <f t="shared" si="9"/>
        <v>2022</v>
      </c>
      <c r="I238" t="str">
        <f t="shared" si="10"/>
        <v>July</v>
      </c>
      <c r="J238" t="str">
        <f t="shared" si="11"/>
        <v>Q3</v>
      </c>
      <c r="K238" t="str">
        <f>TEXT(checking_account_main[[#This Row],[Date]],"mmm-yyyy")</f>
        <v>Jul-2022</v>
      </c>
      <c r="L238">
        <f>_xlfn.XLOOKUP(checking_account_main[[#This Row],[Month_Year]],checking_account_main[Month_Year],checking_account_main[Balance],"",0,-1)</f>
        <v>153390</v>
      </c>
    </row>
    <row r="239" spans="1:12" x14ac:dyDescent="0.3">
      <c r="A239" s="1">
        <v>44759</v>
      </c>
      <c r="B239" t="s">
        <v>255</v>
      </c>
      <c r="C239" t="s">
        <v>8</v>
      </c>
      <c r="D239" t="s">
        <v>9</v>
      </c>
      <c r="E239" t="s">
        <v>10</v>
      </c>
      <c r="F239" s="3">
        <v>909</v>
      </c>
      <c r="G239">
        <v>143400</v>
      </c>
      <c r="H239">
        <f t="shared" si="9"/>
        <v>2022</v>
      </c>
      <c r="I239" t="str">
        <f t="shared" si="10"/>
        <v>July</v>
      </c>
      <c r="J239" t="str">
        <f t="shared" si="11"/>
        <v>Q3</v>
      </c>
      <c r="K239" t="str">
        <f>TEXT(checking_account_main[[#This Row],[Date]],"mmm-yyyy")</f>
        <v>Jul-2022</v>
      </c>
      <c r="L239">
        <f>_xlfn.XLOOKUP(checking_account_main[[#This Row],[Month_Year]],checking_account_main[Month_Year],checking_account_main[Balance],"",0,-1)</f>
        <v>153390</v>
      </c>
    </row>
    <row r="240" spans="1:12" x14ac:dyDescent="0.3">
      <c r="A240" s="1">
        <v>44760</v>
      </c>
      <c r="B240" t="s">
        <v>256</v>
      </c>
      <c r="C240" t="s">
        <v>8</v>
      </c>
      <c r="D240" t="s">
        <v>9</v>
      </c>
      <c r="E240" t="s">
        <v>10</v>
      </c>
      <c r="F240" s="3">
        <v>917</v>
      </c>
      <c r="G240">
        <v>144317</v>
      </c>
      <c r="H240">
        <f t="shared" si="9"/>
        <v>2022</v>
      </c>
      <c r="I240" t="str">
        <f t="shared" si="10"/>
        <v>July</v>
      </c>
      <c r="J240" t="str">
        <f t="shared" si="11"/>
        <v>Q3</v>
      </c>
      <c r="K240" t="str">
        <f>TEXT(checking_account_main[[#This Row],[Date]],"mmm-yyyy")</f>
        <v>Jul-2022</v>
      </c>
      <c r="L240">
        <f>_xlfn.XLOOKUP(checking_account_main[[#This Row],[Month_Year]],checking_account_main[Month_Year],checking_account_main[Balance],"",0,-1)</f>
        <v>153390</v>
      </c>
    </row>
    <row r="241" spans="1:12" x14ac:dyDescent="0.3">
      <c r="A241" s="1">
        <v>44761</v>
      </c>
      <c r="B241" t="s">
        <v>257</v>
      </c>
      <c r="C241" t="s">
        <v>8</v>
      </c>
      <c r="D241" t="s">
        <v>9</v>
      </c>
      <c r="E241" t="s">
        <v>10</v>
      </c>
      <c r="F241" s="3">
        <v>890</v>
      </c>
      <c r="G241">
        <v>145207</v>
      </c>
      <c r="H241">
        <f t="shared" si="9"/>
        <v>2022</v>
      </c>
      <c r="I241" t="str">
        <f t="shared" si="10"/>
        <v>July</v>
      </c>
      <c r="J241" t="str">
        <f t="shared" si="11"/>
        <v>Q3</v>
      </c>
      <c r="K241" t="str">
        <f>TEXT(checking_account_main[[#This Row],[Date]],"mmm-yyyy")</f>
        <v>Jul-2022</v>
      </c>
      <c r="L241">
        <f>_xlfn.XLOOKUP(checking_account_main[[#This Row],[Month_Year]],checking_account_main[Month_Year],checking_account_main[Balance],"",0,-1)</f>
        <v>153390</v>
      </c>
    </row>
    <row r="242" spans="1:12" x14ac:dyDescent="0.3">
      <c r="A242" s="1">
        <v>44761</v>
      </c>
      <c r="B242" t="s">
        <v>258</v>
      </c>
      <c r="C242" t="s">
        <v>74</v>
      </c>
      <c r="D242" t="s">
        <v>16</v>
      </c>
      <c r="E242" t="s">
        <v>17</v>
      </c>
      <c r="F242" s="3">
        <v>213</v>
      </c>
      <c r="G242">
        <v>144994</v>
      </c>
      <c r="H242">
        <f t="shared" si="9"/>
        <v>2022</v>
      </c>
      <c r="I242" t="str">
        <f t="shared" si="10"/>
        <v>July</v>
      </c>
      <c r="J242" t="str">
        <f t="shared" si="11"/>
        <v>Q3</v>
      </c>
      <c r="K242" t="str">
        <f>TEXT(checking_account_main[[#This Row],[Date]],"mmm-yyyy")</f>
        <v>Jul-2022</v>
      </c>
      <c r="L242">
        <f>_xlfn.XLOOKUP(checking_account_main[[#This Row],[Month_Year]],checking_account_main[Month_Year],checking_account_main[Balance],"",0,-1)</f>
        <v>153390</v>
      </c>
    </row>
    <row r="243" spans="1:12" x14ac:dyDescent="0.3">
      <c r="A243" s="1">
        <v>44762</v>
      </c>
      <c r="B243" t="s">
        <v>259</v>
      </c>
      <c r="C243" t="s">
        <v>8</v>
      </c>
      <c r="D243" t="s">
        <v>9</v>
      </c>
      <c r="E243" t="s">
        <v>10</v>
      </c>
      <c r="F243" s="3">
        <v>574</v>
      </c>
      <c r="G243">
        <v>145568</v>
      </c>
      <c r="H243">
        <f t="shared" si="9"/>
        <v>2022</v>
      </c>
      <c r="I243" t="str">
        <f t="shared" si="10"/>
        <v>July</v>
      </c>
      <c r="J243" t="str">
        <f t="shared" si="11"/>
        <v>Q3</v>
      </c>
      <c r="K243" t="str">
        <f>TEXT(checking_account_main[[#This Row],[Date]],"mmm-yyyy")</f>
        <v>Jul-2022</v>
      </c>
      <c r="L243">
        <f>_xlfn.XLOOKUP(checking_account_main[[#This Row],[Month_Year]],checking_account_main[Month_Year],checking_account_main[Balance],"",0,-1)</f>
        <v>153390</v>
      </c>
    </row>
    <row r="244" spans="1:12" x14ac:dyDescent="0.3">
      <c r="A244" s="1">
        <v>44763</v>
      </c>
      <c r="B244" t="s">
        <v>260</v>
      </c>
      <c r="C244" t="s">
        <v>8</v>
      </c>
      <c r="D244" t="s">
        <v>9</v>
      </c>
      <c r="E244" t="s">
        <v>10</v>
      </c>
      <c r="F244" s="3">
        <v>919</v>
      </c>
      <c r="G244">
        <v>146487</v>
      </c>
      <c r="H244">
        <f t="shared" si="9"/>
        <v>2022</v>
      </c>
      <c r="I244" t="str">
        <f t="shared" si="10"/>
        <v>July</v>
      </c>
      <c r="J244" t="str">
        <f t="shared" si="11"/>
        <v>Q3</v>
      </c>
      <c r="K244" t="str">
        <f>TEXT(checking_account_main[[#This Row],[Date]],"mmm-yyyy")</f>
        <v>Jul-2022</v>
      </c>
      <c r="L244">
        <f>_xlfn.XLOOKUP(checking_account_main[[#This Row],[Month_Year]],checking_account_main[Month_Year],checking_account_main[Balance],"",0,-1)</f>
        <v>153390</v>
      </c>
    </row>
    <row r="245" spans="1:12" x14ac:dyDescent="0.3">
      <c r="A245" s="1">
        <v>44764</v>
      </c>
      <c r="B245" t="s">
        <v>261</v>
      </c>
      <c r="C245" t="s">
        <v>8</v>
      </c>
      <c r="D245" t="s">
        <v>9</v>
      </c>
      <c r="E245" t="s">
        <v>10</v>
      </c>
      <c r="F245" s="3">
        <v>748</v>
      </c>
      <c r="G245">
        <v>147235</v>
      </c>
      <c r="H245">
        <f t="shared" si="9"/>
        <v>2022</v>
      </c>
      <c r="I245" t="str">
        <f t="shared" si="10"/>
        <v>July</v>
      </c>
      <c r="J245" t="str">
        <f t="shared" si="11"/>
        <v>Q3</v>
      </c>
      <c r="K245" t="str">
        <f>TEXT(checking_account_main[[#This Row],[Date]],"mmm-yyyy")</f>
        <v>Jul-2022</v>
      </c>
      <c r="L245">
        <f>_xlfn.XLOOKUP(checking_account_main[[#This Row],[Month_Year]],checking_account_main[Month_Year],checking_account_main[Balance],"",0,-1)</f>
        <v>153390</v>
      </c>
    </row>
    <row r="246" spans="1:12" x14ac:dyDescent="0.3">
      <c r="A246" s="1">
        <v>44765</v>
      </c>
      <c r="B246" t="s">
        <v>262</v>
      </c>
      <c r="C246" t="s">
        <v>8</v>
      </c>
      <c r="D246" t="s">
        <v>9</v>
      </c>
      <c r="E246" t="s">
        <v>10</v>
      </c>
      <c r="F246" s="3">
        <v>856</v>
      </c>
      <c r="G246">
        <v>148091</v>
      </c>
      <c r="H246">
        <f t="shared" si="9"/>
        <v>2022</v>
      </c>
      <c r="I246" t="str">
        <f t="shared" si="10"/>
        <v>July</v>
      </c>
      <c r="J246" t="str">
        <f t="shared" si="11"/>
        <v>Q3</v>
      </c>
      <c r="K246" t="str">
        <f>TEXT(checking_account_main[[#This Row],[Date]],"mmm-yyyy")</f>
        <v>Jul-2022</v>
      </c>
      <c r="L246">
        <f>_xlfn.XLOOKUP(checking_account_main[[#This Row],[Month_Year]],checking_account_main[Month_Year],checking_account_main[Balance],"",0,-1)</f>
        <v>153390</v>
      </c>
    </row>
    <row r="247" spans="1:12" x14ac:dyDescent="0.3">
      <c r="A247" s="1">
        <v>44766</v>
      </c>
      <c r="B247" t="s">
        <v>263</v>
      </c>
      <c r="C247" t="s">
        <v>8</v>
      </c>
      <c r="D247" t="s">
        <v>9</v>
      </c>
      <c r="E247" t="s">
        <v>10</v>
      </c>
      <c r="F247" s="3">
        <v>691</v>
      </c>
      <c r="G247">
        <v>148782</v>
      </c>
      <c r="H247">
        <f t="shared" si="9"/>
        <v>2022</v>
      </c>
      <c r="I247" t="str">
        <f t="shared" si="10"/>
        <v>July</v>
      </c>
      <c r="J247" t="str">
        <f t="shared" si="11"/>
        <v>Q3</v>
      </c>
      <c r="K247" t="str">
        <f>TEXT(checking_account_main[[#This Row],[Date]],"mmm-yyyy")</f>
        <v>Jul-2022</v>
      </c>
      <c r="L247">
        <f>_xlfn.XLOOKUP(checking_account_main[[#This Row],[Month_Year]],checking_account_main[Month_Year],checking_account_main[Balance],"",0,-1)</f>
        <v>153390</v>
      </c>
    </row>
    <row r="248" spans="1:12" x14ac:dyDescent="0.3">
      <c r="A248" s="1">
        <v>44767</v>
      </c>
      <c r="B248" t="s">
        <v>264</v>
      </c>
      <c r="C248" t="s">
        <v>8</v>
      </c>
      <c r="D248" t="s">
        <v>9</v>
      </c>
      <c r="E248" t="s">
        <v>10</v>
      </c>
      <c r="F248" s="3">
        <v>598</v>
      </c>
      <c r="G248">
        <v>149380</v>
      </c>
      <c r="H248">
        <f t="shared" si="9"/>
        <v>2022</v>
      </c>
      <c r="I248" t="str">
        <f t="shared" si="10"/>
        <v>July</v>
      </c>
      <c r="J248" t="str">
        <f t="shared" si="11"/>
        <v>Q3</v>
      </c>
      <c r="K248" t="str">
        <f>TEXT(checking_account_main[[#This Row],[Date]],"mmm-yyyy")</f>
        <v>Jul-2022</v>
      </c>
      <c r="L248">
        <f>_xlfn.XLOOKUP(checking_account_main[[#This Row],[Month_Year]],checking_account_main[Month_Year],checking_account_main[Balance],"",0,-1)</f>
        <v>153390</v>
      </c>
    </row>
    <row r="249" spans="1:12" x14ac:dyDescent="0.3">
      <c r="A249" s="1">
        <v>44768</v>
      </c>
      <c r="B249" t="s">
        <v>265</v>
      </c>
      <c r="C249" t="s">
        <v>8</v>
      </c>
      <c r="D249" t="s">
        <v>9</v>
      </c>
      <c r="E249" t="s">
        <v>10</v>
      </c>
      <c r="F249" s="3">
        <v>965</v>
      </c>
      <c r="G249">
        <v>150345</v>
      </c>
      <c r="H249">
        <f t="shared" si="9"/>
        <v>2022</v>
      </c>
      <c r="I249" t="str">
        <f t="shared" si="10"/>
        <v>July</v>
      </c>
      <c r="J249" t="str">
        <f t="shared" si="11"/>
        <v>Q3</v>
      </c>
      <c r="K249" t="str">
        <f>TEXT(checking_account_main[[#This Row],[Date]],"mmm-yyyy")</f>
        <v>Jul-2022</v>
      </c>
      <c r="L249">
        <f>_xlfn.XLOOKUP(checking_account_main[[#This Row],[Month_Year]],checking_account_main[Month_Year],checking_account_main[Balance],"",0,-1)</f>
        <v>153390</v>
      </c>
    </row>
    <row r="250" spans="1:12" x14ac:dyDescent="0.3">
      <c r="A250" s="1">
        <v>44769</v>
      </c>
      <c r="B250" t="s">
        <v>266</v>
      </c>
      <c r="C250" t="s">
        <v>8</v>
      </c>
      <c r="D250" t="s">
        <v>9</v>
      </c>
      <c r="E250" t="s">
        <v>10</v>
      </c>
      <c r="F250" s="3">
        <v>595</v>
      </c>
      <c r="G250">
        <v>150940</v>
      </c>
      <c r="H250">
        <f t="shared" si="9"/>
        <v>2022</v>
      </c>
      <c r="I250" t="str">
        <f t="shared" si="10"/>
        <v>July</v>
      </c>
      <c r="J250" t="str">
        <f t="shared" si="11"/>
        <v>Q3</v>
      </c>
      <c r="K250" t="str">
        <f>TEXT(checking_account_main[[#This Row],[Date]],"mmm-yyyy")</f>
        <v>Jul-2022</v>
      </c>
      <c r="L250">
        <f>_xlfn.XLOOKUP(checking_account_main[[#This Row],[Month_Year]],checking_account_main[Month_Year],checking_account_main[Balance],"",0,-1)</f>
        <v>153390</v>
      </c>
    </row>
    <row r="251" spans="1:12" x14ac:dyDescent="0.3">
      <c r="A251" s="1">
        <v>44770</v>
      </c>
      <c r="B251" t="s">
        <v>267</v>
      </c>
      <c r="C251" t="s">
        <v>8</v>
      </c>
      <c r="D251" t="s">
        <v>9</v>
      </c>
      <c r="E251" t="s">
        <v>10</v>
      </c>
      <c r="F251" s="3">
        <v>689</v>
      </c>
      <c r="G251">
        <v>151629</v>
      </c>
      <c r="H251">
        <f t="shared" si="9"/>
        <v>2022</v>
      </c>
      <c r="I251" t="str">
        <f t="shared" si="10"/>
        <v>July</v>
      </c>
      <c r="J251" t="str">
        <f t="shared" si="11"/>
        <v>Q3</v>
      </c>
      <c r="K251" t="str">
        <f>TEXT(checking_account_main[[#This Row],[Date]],"mmm-yyyy")</f>
        <v>Jul-2022</v>
      </c>
      <c r="L251">
        <f>_xlfn.XLOOKUP(checking_account_main[[#This Row],[Month_Year]],checking_account_main[Month_Year],checking_account_main[Balance],"",0,-1)</f>
        <v>153390</v>
      </c>
    </row>
    <row r="252" spans="1:12" x14ac:dyDescent="0.3">
      <c r="A252" s="1">
        <v>44771</v>
      </c>
      <c r="B252" t="s">
        <v>268</v>
      </c>
      <c r="C252" t="s">
        <v>8</v>
      </c>
      <c r="D252" t="s">
        <v>9</v>
      </c>
      <c r="E252" t="s">
        <v>10</v>
      </c>
      <c r="F252" s="3">
        <v>767</v>
      </c>
      <c r="G252">
        <v>152396</v>
      </c>
      <c r="H252">
        <f t="shared" si="9"/>
        <v>2022</v>
      </c>
      <c r="I252" t="str">
        <f t="shared" si="10"/>
        <v>July</v>
      </c>
      <c r="J252" t="str">
        <f t="shared" si="11"/>
        <v>Q3</v>
      </c>
      <c r="K252" t="str">
        <f>TEXT(checking_account_main[[#This Row],[Date]],"mmm-yyyy")</f>
        <v>Jul-2022</v>
      </c>
      <c r="L252">
        <f>_xlfn.XLOOKUP(checking_account_main[[#This Row],[Month_Year]],checking_account_main[Month_Year],checking_account_main[Balance],"",0,-1)</f>
        <v>153390</v>
      </c>
    </row>
    <row r="253" spans="1:12" x14ac:dyDescent="0.3">
      <c r="A253" s="1">
        <v>44772</v>
      </c>
      <c r="B253" t="s">
        <v>269</v>
      </c>
      <c r="C253" t="s">
        <v>8</v>
      </c>
      <c r="D253" t="s">
        <v>9</v>
      </c>
      <c r="E253" t="s">
        <v>10</v>
      </c>
      <c r="F253" s="3">
        <v>512</v>
      </c>
      <c r="G253">
        <v>152908</v>
      </c>
      <c r="H253">
        <f t="shared" si="9"/>
        <v>2022</v>
      </c>
      <c r="I253" t="str">
        <f t="shared" si="10"/>
        <v>July</v>
      </c>
      <c r="J253" t="str">
        <f t="shared" si="11"/>
        <v>Q3</v>
      </c>
      <c r="K253" t="str">
        <f>TEXT(checking_account_main[[#This Row],[Date]],"mmm-yyyy")</f>
        <v>Jul-2022</v>
      </c>
      <c r="L253">
        <f>_xlfn.XLOOKUP(checking_account_main[[#This Row],[Month_Year]],checking_account_main[Month_Year],checking_account_main[Balance],"",0,-1)</f>
        <v>153390</v>
      </c>
    </row>
    <row r="254" spans="1:12" x14ac:dyDescent="0.3">
      <c r="A254" s="1">
        <v>44773</v>
      </c>
      <c r="B254" t="s">
        <v>270</v>
      </c>
      <c r="C254" t="s">
        <v>8</v>
      </c>
      <c r="D254" t="s">
        <v>9</v>
      </c>
      <c r="E254" t="s">
        <v>10</v>
      </c>
      <c r="F254" s="3">
        <v>854</v>
      </c>
      <c r="G254">
        <v>153762</v>
      </c>
      <c r="H254">
        <f t="shared" si="9"/>
        <v>2022</v>
      </c>
      <c r="I254" t="str">
        <f t="shared" si="10"/>
        <v>July</v>
      </c>
      <c r="J254" t="str">
        <f t="shared" si="11"/>
        <v>Q3</v>
      </c>
      <c r="K254" t="str">
        <f>TEXT(checking_account_main[[#This Row],[Date]],"mmm-yyyy")</f>
        <v>Jul-2022</v>
      </c>
      <c r="L254">
        <f>_xlfn.XLOOKUP(checking_account_main[[#This Row],[Month_Year]],checking_account_main[Month_Year],checking_account_main[Balance],"",0,-1)</f>
        <v>153390</v>
      </c>
    </row>
    <row r="255" spans="1:12" x14ac:dyDescent="0.3">
      <c r="A255" s="1">
        <v>44773</v>
      </c>
      <c r="B255" t="s">
        <v>271</v>
      </c>
      <c r="C255" t="s">
        <v>28</v>
      </c>
      <c r="D255" t="s">
        <v>29</v>
      </c>
      <c r="E255" t="s">
        <v>17</v>
      </c>
      <c r="F255" s="3">
        <v>372</v>
      </c>
      <c r="G255">
        <v>153390</v>
      </c>
      <c r="H255">
        <f t="shared" si="9"/>
        <v>2022</v>
      </c>
      <c r="I255" t="str">
        <f t="shared" si="10"/>
        <v>July</v>
      </c>
      <c r="J255" t="str">
        <f t="shared" si="11"/>
        <v>Q3</v>
      </c>
      <c r="K255" t="str">
        <f>TEXT(checking_account_main[[#This Row],[Date]],"mmm-yyyy")</f>
        <v>Jul-2022</v>
      </c>
      <c r="L255">
        <f>_xlfn.XLOOKUP(checking_account_main[[#This Row],[Month_Year]],checking_account_main[Month_Year],checking_account_main[Balance],"",0,-1)</f>
        <v>153390</v>
      </c>
    </row>
    <row r="256" spans="1:12" x14ac:dyDescent="0.3">
      <c r="A256" s="1">
        <v>44774</v>
      </c>
      <c r="B256" t="s">
        <v>272</v>
      </c>
      <c r="C256" t="s">
        <v>8</v>
      </c>
      <c r="D256" t="s">
        <v>9</v>
      </c>
      <c r="E256" t="s">
        <v>10</v>
      </c>
      <c r="F256" s="3">
        <v>561</v>
      </c>
      <c r="G256">
        <v>153951</v>
      </c>
      <c r="H256">
        <f t="shared" si="9"/>
        <v>2022</v>
      </c>
      <c r="I256" t="str">
        <f t="shared" si="10"/>
        <v>August</v>
      </c>
      <c r="J256" t="str">
        <f t="shared" si="11"/>
        <v>Q3</v>
      </c>
      <c r="K256" t="str">
        <f>TEXT(checking_account_main[[#This Row],[Date]],"mmm-yyyy")</f>
        <v>Aug-2022</v>
      </c>
      <c r="L256">
        <f>_xlfn.XLOOKUP(checking_account_main[[#This Row],[Month_Year]],checking_account_main[Month_Year],checking_account_main[Balance],"",0,-1)</f>
        <v>173696</v>
      </c>
    </row>
    <row r="257" spans="1:12" x14ac:dyDescent="0.3">
      <c r="A257" s="1">
        <v>44775</v>
      </c>
      <c r="B257" t="s">
        <v>273</v>
      </c>
      <c r="C257" t="s">
        <v>8</v>
      </c>
      <c r="D257" t="s">
        <v>9</v>
      </c>
      <c r="E257" t="s">
        <v>10</v>
      </c>
      <c r="F257" s="3">
        <v>716</v>
      </c>
      <c r="G257">
        <v>154667</v>
      </c>
      <c r="H257">
        <f t="shared" si="9"/>
        <v>2022</v>
      </c>
      <c r="I257" t="str">
        <f t="shared" si="10"/>
        <v>August</v>
      </c>
      <c r="J257" t="str">
        <f t="shared" si="11"/>
        <v>Q3</v>
      </c>
      <c r="K257" t="str">
        <f>TEXT(checking_account_main[[#This Row],[Date]],"mmm-yyyy")</f>
        <v>Aug-2022</v>
      </c>
      <c r="L257">
        <f>_xlfn.XLOOKUP(checking_account_main[[#This Row],[Month_Year]],checking_account_main[Month_Year],checking_account_main[Balance],"",0,-1)</f>
        <v>173696</v>
      </c>
    </row>
    <row r="258" spans="1:12" x14ac:dyDescent="0.3">
      <c r="A258" s="1">
        <v>44776</v>
      </c>
      <c r="B258" t="s">
        <v>274</v>
      </c>
      <c r="C258" t="s">
        <v>8</v>
      </c>
      <c r="D258" t="s">
        <v>9</v>
      </c>
      <c r="E258" t="s">
        <v>10</v>
      </c>
      <c r="F258" s="3">
        <v>686</v>
      </c>
      <c r="G258">
        <v>155353</v>
      </c>
      <c r="H258">
        <f t="shared" ref="H258:H321" si="12">YEAR(A258)</f>
        <v>2022</v>
      </c>
      <c r="I258" t="str">
        <f t="shared" ref="I258:I321" si="13">TEXT(A258,"mmmm")</f>
        <v>August</v>
      </c>
      <c r="J258" t="str">
        <f t="shared" ref="J258:J321" si="14">"Q"&amp;ROUNDUP(MONTH(A258)/3,0)</f>
        <v>Q3</v>
      </c>
      <c r="K258" t="str">
        <f>TEXT(checking_account_main[[#This Row],[Date]],"mmm-yyyy")</f>
        <v>Aug-2022</v>
      </c>
      <c r="L258">
        <f>_xlfn.XLOOKUP(checking_account_main[[#This Row],[Month_Year]],checking_account_main[Month_Year],checking_account_main[Balance],"",0,-1)</f>
        <v>173696</v>
      </c>
    </row>
    <row r="259" spans="1:12" x14ac:dyDescent="0.3">
      <c r="A259" s="1">
        <v>44776</v>
      </c>
      <c r="B259" t="s">
        <v>275</v>
      </c>
      <c r="C259" t="s">
        <v>22</v>
      </c>
      <c r="D259" t="s">
        <v>16</v>
      </c>
      <c r="E259" t="s">
        <v>17</v>
      </c>
      <c r="F259" s="3">
        <v>199</v>
      </c>
      <c r="G259">
        <v>155154</v>
      </c>
      <c r="H259">
        <f t="shared" si="12"/>
        <v>2022</v>
      </c>
      <c r="I259" t="str">
        <f t="shared" si="13"/>
        <v>August</v>
      </c>
      <c r="J259" t="str">
        <f t="shared" si="14"/>
        <v>Q3</v>
      </c>
      <c r="K259" t="str">
        <f>TEXT(checking_account_main[[#This Row],[Date]],"mmm-yyyy")</f>
        <v>Aug-2022</v>
      </c>
      <c r="L259">
        <f>_xlfn.XLOOKUP(checking_account_main[[#This Row],[Month_Year]],checking_account_main[Month_Year],checking_account_main[Balance],"",0,-1)</f>
        <v>173696</v>
      </c>
    </row>
    <row r="260" spans="1:12" x14ac:dyDescent="0.3">
      <c r="A260" s="1">
        <v>44777</v>
      </c>
      <c r="B260" t="s">
        <v>276</v>
      </c>
      <c r="C260" t="s">
        <v>8</v>
      </c>
      <c r="D260" t="s">
        <v>9</v>
      </c>
      <c r="E260" t="s">
        <v>10</v>
      </c>
      <c r="F260" s="3">
        <v>944</v>
      </c>
      <c r="G260">
        <v>156098</v>
      </c>
      <c r="H260">
        <f t="shared" si="12"/>
        <v>2022</v>
      </c>
      <c r="I260" t="str">
        <f t="shared" si="13"/>
        <v>August</v>
      </c>
      <c r="J260" t="str">
        <f t="shared" si="14"/>
        <v>Q3</v>
      </c>
      <c r="K260" t="str">
        <f>TEXT(checking_account_main[[#This Row],[Date]],"mmm-yyyy")</f>
        <v>Aug-2022</v>
      </c>
      <c r="L260">
        <f>_xlfn.XLOOKUP(checking_account_main[[#This Row],[Month_Year]],checking_account_main[Month_Year],checking_account_main[Balance],"",0,-1)</f>
        <v>173696</v>
      </c>
    </row>
    <row r="261" spans="1:12" x14ac:dyDescent="0.3">
      <c r="A261" s="1">
        <v>44778</v>
      </c>
      <c r="B261" t="s">
        <v>277</v>
      </c>
      <c r="C261" t="s">
        <v>8</v>
      </c>
      <c r="D261" t="s">
        <v>9</v>
      </c>
      <c r="E261" t="s">
        <v>10</v>
      </c>
      <c r="F261" s="3">
        <v>575</v>
      </c>
      <c r="G261">
        <v>156673</v>
      </c>
      <c r="H261">
        <f t="shared" si="12"/>
        <v>2022</v>
      </c>
      <c r="I261" t="str">
        <f t="shared" si="13"/>
        <v>August</v>
      </c>
      <c r="J261" t="str">
        <f t="shared" si="14"/>
        <v>Q3</v>
      </c>
      <c r="K261" t="str">
        <f>TEXT(checking_account_main[[#This Row],[Date]],"mmm-yyyy")</f>
        <v>Aug-2022</v>
      </c>
      <c r="L261">
        <f>_xlfn.XLOOKUP(checking_account_main[[#This Row],[Month_Year]],checking_account_main[Month_Year],checking_account_main[Balance],"",0,-1)</f>
        <v>173696</v>
      </c>
    </row>
    <row r="262" spans="1:12" x14ac:dyDescent="0.3">
      <c r="A262" s="1">
        <v>44779</v>
      </c>
      <c r="B262" t="s">
        <v>278</v>
      </c>
      <c r="C262" t="s">
        <v>8</v>
      </c>
      <c r="D262" t="s">
        <v>9</v>
      </c>
      <c r="E262" t="s">
        <v>10</v>
      </c>
      <c r="F262" s="3">
        <v>783</v>
      </c>
      <c r="G262">
        <v>157456</v>
      </c>
      <c r="H262">
        <f t="shared" si="12"/>
        <v>2022</v>
      </c>
      <c r="I262" t="str">
        <f t="shared" si="13"/>
        <v>August</v>
      </c>
      <c r="J262" t="str">
        <f t="shared" si="14"/>
        <v>Q3</v>
      </c>
      <c r="K262" t="str">
        <f>TEXT(checking_account_main[[#This Row],[Date]],"mmm-yyyy")</f>
        <v>Aug-2022</v>
      </c>
      <c r="L262">
        <f>_xlfn.XLOOKUP(checking_account_main[[#This Row],[Month_Year]],checking_account_main[Month_Year],checking_account_main[Balance],"",0,-1)</f>
        <v>173696</v>
      </c>
    </row>
    <row r="263" spans="1:12" x14ac:dyDescent="0.3">
      <c r="A263" s="1">
        <v>44780</v>
      </c>
      <c r="B263" t="s">
        <v>279</v>
      </c>
      <c r="C263" t="s">
        <v>8</v>
      </c>
      <c r="D263" t="s">
        <v>9</v>
      </c>
      <c r="E263" t="s">
        <v>10</v>
      </c>
      <c r="F263" s="3">
        <v>883</v>
      </c>
      <c r="G263">
        <v>158339</v>
      </c>
      <c r="H263">
        <f t="shared" si="12"/>
        <v>2022</v>
      </c>
      <c r="I263" t="str">
        <f t="shared" si="13"/>
        <v>August</v>
      </c>
      <c r="J263" t="str">
        <f t="shared" si="14"/>
        <v>Q3</v>
      </c>
      <c r="K263" t="str">
        <f>TEXT(checking_account_main[[#This Row],[Date]],"mmm-yyyy")</f>
        <v>Aug-2022</v>
      </c>
      <c r="L263">
        <f>_xlfn.XLOOKUP(checking_account_main[[#This Row],[Month_Year]],checking_account_main[Month_Year],checking_account_main[Balance],"",0,-1)</f>
        <v>173696</v>
      </c>
    </row>
    <row r="264" spans="1:12" x14ac:dyDescent="0.3">
      <c r="A264" s="1">
        <v>44781</v>
      </c>
      <c r="B264" t="s">
        <v>280</v>
      </c>
      <c r="C264" t="s">
        <v>8</v>
      </c>
      <c r="D264" t="s">
        <v>9</v>
      </c>
      <c r="E264" t="s">
        <v>10</v>
      </c>
      <c r="F264" s="3">
        <v>866</v>
      </c>
      <c r="G264">
        <v>159205</v>
      </c>
      <c r="H264">
        <f t="shared" si="12"/>
        <v>2022</v>
      </c>
      <c r="I264" t="str">
        <f t="shared" si="13"/>
        <v>August</v>
      </c>
      <c r="J264" t="str">
        <f t="shared" si="14"/>
        <v>Q3</v>
      </c>
      <c r="K264" t="str">
        <f>TEXT(checking_account_main[[#This Row],[Date]],"mmm-yyyy")</f>
        <v>Aug-2022</v>
      </c>
      <c r="L264">
        <f>_xlfn.XLOOKUP(checking_account_main[[#This Row],[Month_Year]],checking_account_main[Month_Year],checking_account_main[Balance],"",0,-1)</f>
        <v>173696</v>
      </c>
    </row>
    <row r="265" spans="1:12" x14ac:dyDescent="0.3">
      <c r="A265" s="1">
        <v>44781</v>
      </c>
      <c r="B265" t="s">
        <v>281</v>
      </c>
      <c r="C265" t="s">
        <v>15</v>
      </c>
      <c r="D265" t="s">
        <v>16</v>
      </c>
      <c r="E265" t="s">
        <v>17</v>
      </c>
      <c r="F265" s="3">
        <v>168</v>
      </c>
      <c r="G265">
        <v>159037</v>
      </c>
      <c r="H265">
        <f t="shared" si="12"/>
        <v>2022</v>
      </c>
      <c r="I265" t="str">
        <f t="shared" si="13"/>
        <v>August</v>
      </c>
      <c r="J265" t="str">
        <f t="shared" si="14"/>
        <v>Q3</v>
      </c>
      <c r="K265" t="str">
        <f>TEXT(checking_account_main[[#This Row],[Date]],"mmm-yyyy")</f>
        <v>Aug-2022</v>
      </c>
      <c r="L265">
        <f>_xlfn.XLOOKUP(checking_account_main[[#This Row],[Month_Year]],checking_account_main[Month_Year],checking_account_main[Balance],"",0,-1)</f>
        <v>173696</v>
      </c>
    </row>
    <row r="266" spans="1:12" x14ac:dyDescent="0.3">
      <c r="A266" s="1">
        <v>44782</v>
      </c>
      <c r="B266" t="s">
        <v>282</v>
      </c>
      <c r="C266" t="s">
        <v>8</v>
      </c>
      <c r="D266" t="s">
        <v>9</v>
      </c>
      <c r="E266" t="s">
        <v>10</v>
      </c>
      <c r="F266" s="3">
        <v>895</v>
      </c>
      <c r="G266">
        <v>159932</v>
      </c>
      <c r="H266">
        <f t="shared" si="12"/>
        <v>2022</v>
      </c>
      <c r="I266" t="str">
        <f t="shared" si="13"/>
        <v>August</v>
      </c>
      <c r="J266" t="str">
        <f t="shared" si="14"/>
        <v>Q3</v>
      </c>
      <c r="K266" t="str">
        <f>TEXT(checking_account_main[[#This Row],[Date]],"mmm-yyyy")</f>
        <v>Aug-2022</v>
      </c>
      <c r="L266">
        <f>_xlfn.XLOOKUP(checking_account_main[[#This Row],[Month_Year]],checking_account_main[Month_Year],checking_account_main[Balance],"",0,-1)</f>
        <v>173696</v>
      </c>
    </row>
    <row r="267" spans="1:12" x14ac:dyDescent="0.3">
      <c r="A267" s="1">
        <v>44783</v>
      </c>
      <c r="B267" t="s">
        <v>283</v>
      </c>
      <c r="C267" t="s">
        <v>8</v>
      </c>
      <c r="D267" t="s">
        <v>9</v>
      </c>
      <c r="E267" t="s">
        <v>10</v>
      </c>
      <c r="F267" s="3">
        <v>878</v>
      </c>
      <c r="G267">
        <v>160810</v>
      </c>
      <c r="H267">
        <f t="shared" si="12"/>
        <v>2022</v>
      </c>
      <c r="I267" t="str">
        <f t="shared" si="13"/>
        <v>August</v>
      </c>
      <c r="J267" t="str">
        <f t="shared" si="14"/>
        <v>Q3</v>
      </c>
      <c r="K267" t="str">
        <f>TEXT(checking_account_main[[#This Row],[Date]],"mmm-yyyy")</f>
        <v>Aug-2022</v>
      </c>
      <c r="L267">
        <f>_xlfn.XLOOKUP(checking_account_main[[#This Row],[Month_Year]],checking_account_main[Month_Year],checking_account_main[Balance],"",0,-1)</f>
        <v>173696</v>
      </c>
    </row>
    <row r="268" spans="1:12" x14ac:dyDescent="0.3">
      <c r="A268" s="1">
        <v>44784</v>
      </c>
      <c r="B268" t="s">
        <v>284</v>
      </c>
      <c r="C268" t="s">
        <v>8</v>
      </c>
      <c r="D268" t="s">
        <v>9</v>
      </c>
      <c r="E268" t="s">
        <v>10</v>
      </c>
      <c r="F268" s="3">
        <v>552</v>
      </c>
      <c r="G268">
        <v>161362</v>
      </c>
      <c r="H268">
        <f t="shared" si="12"/>
        <v>2022</v>
      </c>
      <c r="I268" t="str">
        <f t="shared" si="13"/>
        <v>August</v>
      </c>
      <c r="J268" t="str">
        <f t="shared" si="14"/>
        <v>Q3</v>
      </c>
      <c r="K268" t="str">
        <f>TEXT(checking_account_main[[#This Row],[Date]],"mmm-yyyy")</f>
        <v>Aug-2022</v>
      </c>
      <c r="L268">
        <f>_xlfn.XLOOKUP(checking_account_main[[#This Row],[Month_Year]],checking_account_main[Month_Year],checking_account_main[Balance],"",0,-1)</f>
        <v>173696</v>
      </c>
    </row>
    <row r="269" spans="1:12" x14ac:dyDescent="0.3">
      <c r="A269" s="1">
        <v>44785</v>
      </c>
      <c r="B269" t="s">
        <v>285</v>
      </c>
      <c r="C269" t="s">
        <v>8</v>
      </c>
      <c r="D269" t="s">
        <v>9</v>
      </c>
      <c r="E269" t="s">
        <v>10</v>
      </c>
      <c r="F269" s="3">
        <v>556</v>
      </c>
      <c r="G269">
        <v>161918</v>
      </c>
      <c r="H269">
        <f t="shared" si="12"/>
        <v>2022</v>
      </c>
      <c r="I269" t="str">
        <f t="shared" si="13"/>
        <v>August</v>
      </c>
      <c r="J269" t="str">
        <f t="shared" si="14"/>
        <v>Q3</v>
      </c>
      <c r="K269" t="str">
        <f>TEXT(checking_account_main[[#This Row],[Date]],"mmm-yyyy")</f>
        <v>Aug-2022</v>
      </c>
      <c r="L269">
        <f>_xlfn.XLOOKUP(checking_account_main[[#This Row],[Month_Year]],checking_account_main[Month_Year],checking_account_main[Balance],"",0,-1)</f>
        <v>173696</v>
      </c>
    </row>
    <row r="270" spans="1:12" x14ac:dyDescent="0.3">
      <c r="A270" s="1">
        <v>44785</v>
      </c>
      <c r="B270" t="s">
        <v>286</v>
      </c>
      <c r="C270" t="s">
        <v>47</v>
      </c>
      <c r="D270" t="s">
        <v>29</v>
      </c>
      <c r="E270" t="s">
        <v>17</v>
      </c>
      <c r="F270" s="3">
        <v>280</v>
      </c>
      <c r="G270">
        <v>161638</v>
      </c>
      <c r="H270">
        <f t="shared" si="12"/>
        <v>2022</v>
      </c>
      <c r="I270" t="str">
        <f t="shared" si="13"/>
        <v>August</v>
      </c>
      <c r="J270" t="str">
        <f t="shared" si="14"/>
        <v>Q3</v>
      </c>
      <c r="K270" t="str">
        <f>TEXT(checking_account_main[[#This Row],[Date]],"mmm-yyyy")</f>
        <v>Aug-2022</v>
      </c>
      <c r="L270">
        <f>_xlfn.XLOOKUP(checking_account_main[[#This Row],[Month_Year]],checking_account_main[Month_Year],checking_account_main[Balance],"",0,-1)</f>
        <v>173696</v>
      </c>
    </row>
    <row r="271" spans="1:12" x14ac:dyDescent="0.3">
      <c r="A271" s="1">
        <v>44786</v>
      </c>
      <c r="B271" t="s">
        <v>287</v>
      </c>
      <c r="C271" t="s">
        <v>8</v>
      </c>
      <c r="D271" t="s">
        <v>9</v>
      </c>
      <c r="E271" t="s">
        <v>10</v>
      </c>
      <c r="F271" s="3">
        <v>685</v>
      </c>
      <c r="G271">
        <v>162323</v>
      </c>
      <c r="H271">
        <f t="shared" si="12"/>
        <v>2022</v>
      </c>
      <c r="I271" t="str">
        <f t="shared" si="13"/>
        <v>August</v>
      </c>
      <c r="J271" t="str">
        <f t="shared" si="14"/>
        <v>Q3</v>
      </c>
      <c r="K271" t="str">
        <f>TEXT(checking_account_main[[#This Row],[Date]],"mmm-yyyy")</f>
        <v>Aug-2022</v>
      </c>
      <c r="L271">
        <f>_xlfn.XLOOKUP(checking_account_main[[#This Row],[Month_Year]],checking_account_main[Month_Year],checking_account_main[Balance],"",0,-1)</f>
        <v>173696</v>
      </c>
    </row>
    <row r="272" spans="1:12" x14ac:dyDescent="0.3">
      <c r="A272" s="1">
        <v>44786</v>
      </c>
      <c r="B272" t="s">
        <v>288</v>
      </c>
      <c r="C272" t="s">
        <v>47</v>
      </c>
      <c r="D272" t="s">
        <v>29</v>
      </c>
      <c r="E272" t="s">
        <v>17</v>
      </c>
      <c r="F272" s="3">
        <v>322</v>
      </c>
      <c r="G272">
        <v>162001</v>
      </c>
      <c r="H272">
        <f t="shared" si="12"/>
        <v>2022</v>
      </c>
      <c r="I272" t="str">
        <f t="shared" si="13"/>
        <v>August</v>
      </c>
      <c r="J272" t="str">
        <f t="shared" si="14"/>
        <v>Q3</v>
      </c>
      <c r="K272" t="str">
        <f>TEXT(checking_account_main[[#This Row],[Date]],"mmm-yyyy")</f>
        <v>Aug-2022</v>
      </c>
      <c r="L272">
        <f>_xlfn.XLOOKUP(checking_account_main[[#This Row],[Month_Year]],checking_account_main[Month_Year],checking_account_main[Balance],"",0,-1)</f>
        <v>173696</v>
      </c>
    </row>
    <row r="273" spans="1:12" x14ac:dyDescent="0.3">
      <c r="A273" s="1">
        <v>44787</v>
      </c>
      <c r="B273" t="s">
        <v>289</v>
      </c>
      <c r="C273" t="s">
        <v>8</v>
      </c>
      <c r="D273" t="s">
        <v>9</v>
      </c>
      <c r="E273" t="s">
        <v>10</v>
      </c>
      <c r="F273" s="3">
        <v>632</v>
      </c>
      <c r="G273">
        <v>162633</v>
      </c>
      <c r="H273">
        <f t="shared" si="12"/>
        <v>2022</v>
      </c>
      <c r="I273" t="str">
        <f t="shared" si="13"/>
        <v>August</v>
      </c>
      <c r="J273" t="str">
        <f t="shared" si="14"/>
        <v>Q3</v>
      </c>
      <c r="K273" t="str">
        <f>TEXT(checking_account_main[[#This Row],[Date]],"mmm-yyyy")</f>
        <v>Aug-2022</v>
      </c>
      <c r="L273">
        <f>_xlfn.XLOOKUP(checking_account_main[[#This Row],[Month_Year]],checking_account_main[Month_Year],checking_account_main[Balance],"",0,-1)</f>
        <v>173696</v>
      </c>
    </row>
    <row r="274" spans="1:12" x14ac:dyDescent="0.3">
      <c r="A274" s="1">
        <v>44788</v>
      </c>
      <c r="B274" t="s">
        <v>290</v>
      </c>
      <c r="C274" t="s">
        <v>8</v>
      </c>
      <c r="D274" t="s">
        <v>9</v>
      </c>
      <c r="E274" t="s">
        <v>10</v>
      </c>
      <c r="F274" s="3">
        <v>720</v>
      </c>
      <c r="G274">
        <v>163353</v>
      </c>
      <c r="H274">
        <f t="shared" si="12"/>
        <v>2022</v>
      </c>
      <c r="I274" t="str">
        <f t="shared" si="13"/>
        <v>August</v>
      </c>
      <c r="J274" t="str">
        <f t="shared" si="14"/>
        <v>Q3</v>
      </c>
      <c r="K274" t="str">
        <f>TEXT(checking_account_main[[#This Row],[Date]],"mmm-yyyy")</f>
        <v>Aug-2022</v>
      </c>
      <c r="L274">
        <f>_xlfn.XLOOKUP(checking_account_main[[#This Row],[Month_Year]],checking_account_main[Month_Year],checking_account_main[Balance],"",0,-1)</f>
        <v>173696</v>
      </c>
    </row>
    <row r="275" spans="1:12" x14ac:dyDescent="0.3">
      <c r="A275" s="1">
        <v>44789</v>
      </c>
      <c r="B275" t="s">
        <v>291</v>
      </c>
      <c r="C275" t="s">
        <v>8</v>
      </c>
      <c r="D275" t="s">
        <v>9</v>
      </c>
      <c r="E275" t="s">
        <v>10</v>
      </c>
      <c r="F275" s="3">
        <v>645</v>
      </c>
      <c r="G275">
        <v>163998</v>
      </c>
      <c r="H275">
        <f t="shared" si="12"/>
        <v>2022</v>
      </c>
      <c r="I275" t="str">
        <f t="shared" si="13"/>
        <v>August</v>
      </c>
      <c r="J275" t="str">
        <f t="shared" si="14"/>
        <v>Q3</v>
      </c>
      <c r="K275" t="str">
        <f>TEXT(checking_account_main[[#This Row],[Date]],"mmm-yyyy")</f>
        <v>Aug-2022</v>
      </c>
      <c r="L275">
        <f>_xlfn.XLOOKUP(checking_account_main[[#This Row],[Month_Year]],checking_account_main[Month_Year],checking_account_main[Balance],"",0,-1)</f>
        <v>173696</v>
      </c>
    </row>
    <row r="276" spans="1:12" x14ac:dyDescent="0.3">
      <c r="A276" s="1">
        <v>44790</v>
      </c>
      <c r="B276" t="s">
        <v>292</v>
      </c>
      <c r="C276" t="s">
        <v>8</v>
      </c>
      <c r="D276" t="s">
        <v>9</v>
      </c>
      <c r="E276" t="s">
        <v>10</v>
      </c>
      <c r="F276" s="3">
        <v>508</v>
      </c>
      <c r="G276">
        <v>164506</v>
      </c>
      <c r="H276">
        <f t="shared" si="12"/>
        <v>2022</v>
      </c>
      <c r="I276" t="str">
        <f t="shared" si="13"/>
        <v>August</v>
      </c>
      <c r="J276" t="str">
        <f t="shared" si="14"/>
        <v>Q3</v>
      </c>
      <c r="K276" t="str">
        <f>TEXT(checking_account_main[[#This Row],[Date]],"mmm-yyyy")</f>
        <v>Aug-2022</v>
      </c>
      <c r="L276">
        <f>_xlfn.XLOOKUP(checking_account_main[[#This Row],[Month_Year]],checking_account_main[Month_Year],checking_account_main[Balance],"",0,-1)</f>
        <v>173696</v>
      </c>
    </row>
    <row r="277" spans="1:12" x14ac:dyDescent="0.3">
      <c r="A277" s="1">
        <v>44791</v>
      </c>
      <c r="B277" t="s">
        <v>293</v>
      </c>
      <c r="C277" t="s">
        <v>8</v>
      </c>
      <c r="D277" t="s">
        <v>9</v>
      </c>
      <c r="E277" t="s">
        <v>10</v>
      </c>
      <c r="F277" s="3">
        <v>991</v>
      </c>
      <c r="G277">
        <v>165497</v>
      </c>
      <c r="H277">
        <f t="shared" si="12"/>
        <v>2022</v>
      </c>
      <c r="I277" t="str">
        <f t="shared" si="13"/>
        <v>August</v>
      </c>
      <c r="J277" t="str">
        <f t="shared" si="14"/>
        <v>Q3</v>
      </c>
      <c r="K277" t="str">
        <f>TEXT(checking_account_main[[#This Row],[Date]],"mmm-yyyy")</f>
        <v>Aug-2022</v>
      </c>
      <c r="L277">
        <f>_xlfn.XLOOKUP(checking_account_main[[#This Row],[Month_Year]],checking_account_main[Month_Year],checking_account_main[Balance],"",0,-1)</f>
        <v>173696</v>
      </c>
    </row>
    <row r="278" spans="1:12" x14ac:dyDescent="0.3">
      <c r="A278" s="1">
        <v>44792</v>
      </c>
      <c r="B278" t="s">
        <v>294</v>
      </c>
      <c r="C278" t="s">
        <v>8</v>
      </c>
      <c r="D278" t="s">
        <v>9</v>
      </c>
      <c r="E278" t="s">
        <v>10</v>
      </c>
      <c r="F278" s="3">
        <v>729</v>
      </c>
      <c r="G278">
        <v>166226</v>
      </c>
      <c r="H278">
        <f t="shared" si="12"/>
        <v>2022</v>
      </c>
      <c r="I278" t="str">
        <f t="shared" si="13"/>
        <v>August</v>
      </c>
      <c r="J278" t="str">
        <f t="shared" si="14"/>
        <v>Q3</v>
      </c>
      <c r="K278" t="str">
        <f>TEXT(checking_account_main[[#This Row],[Date]],"mmm-yyyy")</f>
        <v>Aug-2022</v>
      </c>
      <c r="L278">
        <f>_xlfn.XLOOKUP(checking_account_main[[#This Row],[Month_Year]],checking_account_main[Month_Year],checking_account_main[Balance],"",0,-1)</f>
        <v>173696</v>
      </c>
    </row>
    <row r="279" spans="1:12" x14ac:dyDescent="0.3">
      <c r="A279" s="1">
        <v>44792</v>
      </c>
      <c r="B279" t="s">
        <v>295</v>
      </c>
      <c r="C279" t="s">
        <v>47</v>
      </c>
      <c r="D279" t="s">
        <v>29</v>
      </c>
      <c r="E279" t="s">
        <v>17</v>
      </c>
      <c r="F279" s="3">
        <v>240</v>
      </c>
      <c r="G279">
        <v>165986</v>
      </c>
      <c r="H279">
        <f t="shared" si="12"/>
        <v>2022</v>
      </c>
      <c r="I279" t="str">
        <f t="shared" si="13"/>
        <v>August</v>
      </c>
      <c r="J279" t="str">
        <f t="shared" si="14"/>
        <v>Q3</v>
      </c>
      <c r="K279" t="str">
        <f>TEXT(checking_account_main[[#This Row],[Date]],"mmm-yyyy")</f>
        <v>Aug-2022</v>
      </c>
      <c r="L279">
        <f>_xlfn.XLOOKUP(checking_account_main[[#This Row],[Month_Year]],checking_account_main[Month_Year],checking_account_main[Balance],"",0,-1)</f>
        <v>173696</v>
      </c>
    </row>
    <row r="280" spans="1:12" x14ac:dyDescent="0.3">
      <c r="A280" s="1">
        <v>44793</v>
      </c>
      <c r="B280" t="s">
        <v>296</v>
      </c>
      <c r="C280" t="s">
        <v>8</v>
      </c>
      <c r="D280" t="s">
        <v>9</v>
      </c>
      <c r="E280" t="s">
        <v>10</v>
      </c>
      <c r="F280" s="3">
        <v>892</v>
      </c>
      <c r="G280">
        <v>166878</v>
      </c>
      <c r="H280">
        <f t="shared" si="12"/>
        <v>2022</v>
      </c>
      <c r="I280" t="str">
        <f t="shared" si="13"/>
        <v>August</v>
      </c>
      <c r="J280" t="str">
        <f t="shared" si="14"/>
        <v>Q3</v>
      </c>
      <c r="K280" t="str">
        <f>TEXT(checking_account_main[[#This Row],[Date]],"mmm-yyyy")</f>
        <v>Aug-2022</v>
      </c>
      <c r="L280">
        <f>_xlfn.XLOOKUP(checking_account_main[[#This Row],[Month_Year]],checking_account_main[Month_Year],checking_account_main[Balance],"",0,-1)</f>
        <v>173696</v>
      </c>
    </row>
    <row r="281" spans="1:12" x14ac:dyDescent="0.3">
      <c r="A281" s="1">
        <v>44794</v>
      </c>
      <c r="B281" t="s">
        <v>297</v>
      </c>
      <c r="C281" t="s">
        <v>8</v>
      </c>
      <c r="D281" t="s">
        <v>9</v>
      </c>
      <c r="E281" t="s">
        <v>10</v>
      </c>
      <c r="F281" s="3">
        <v>621</v>
      </c>
      <c r="G281">
        <v>167499</v>
      </c>
      <c r="H281">
        <f t="shared" si="12"/>
        <v>2022</v>
      </c>
      <c r="I281" t="str">
        <f t="shared" si="13"/>
        <v>August</v>
      </c>
      <c r="J281" t="str">
        <f t="shared" si="14"/>
        <v>Q3</v>
      </c>
      <c r="K281" t="str">
        <f>TEXT(checking_account_main[[#This Row],[Date]],"mmm-yyyy")</f>
        <v>Aug-2022</v>
      </c>
      <c r="L281">
        <f>_xlfn.XLOOKUP(checking_account_main[[#This Row],[Month_Year]],checking_account_main[Month_Year],checking_account_main[Balance],"",0,-1)</f>
        <v>173696</v>
      </c>
    </row>
    <row r="282" spans="1:12" x14ac:dyDescent="0.3">
      <c r="A282" s="1">
        <v>44794</v>
      </c>
      <c r="B282" t="s">
        <v>298</v>
      </c>
      <c r="C282" t="s">
        <v>74</v>
      </c>
      <c r="D282" t="s">
        <v>16</v>
      </c>
      <c r="E282" t="s">
        <v>17</v>
      </c>
      <c r="F282" s="3">
        <v>128</v>
      </c>
      <c r="G282">
        <v>167371</v>
      </c>
      <c r="H282">
        <f t="shared" si="12"/>
        <v>2022</v>
      </c>
      <c r="I282" t="str">
        <f t="shared" si="13"/>
        <v>August</v>
      </c>
      <c r="J282" t="str">
        <f t="shared" si="14"/>
        <v>Q3</v>
      </c>
      <c r="K282" t="str">
        <f>TEXT(checking_account_main[[#This Row],[Date]],"mmm-yyyy")</f>
        <v>Aug-2022</v>
      </c>
      <c r="L282">
        <f>_xlfn.XLOOKUP(checking_account_main[[#This Row],[Month_Year]],checking_account_main[Month_Year],checking_account_main[Balance],"",0,-1)</f>
        <v>173696</v>
      </c>
    </row>
    <row r="283" spans="1:12" x14ac:dyDescent="0.3">
      <c r="A283" s="1">
        <v>44795</v>
      </c>
      <c r="B283" t="s">
        <v>299</v>
      </c>
      <c r="C283" t="s">
        <v>8</v>
      </c>
      <c r="D283" t="s">
        <v>9</v>
      </c>
      <c r="E283" t="s">
        <v>10</v>
      </c>
      <c r="F283" s="3">
        <v>921</v>
      </c>
      <c r="G283">
        <v>168292</v>
      </c>
      <c r="H283">
        <f t="shared" si="12"/>
        <v>2022</v>
      </c>
      <c r="I283" t="str">
        <f t="shared" si="13"/>
        <v>August</v>
      </c>
      <c r="J283" t="str">
        <f t="shared" si="14"/>
        <v>Q3</v>
      </c>
      <c r="K283" t="str">
        <f>TEXT(checking_account_main[[#This Row],[Date]],"mmm-yyyy")</f>
        <v>Aug-2022</v>
      </c>
      <c r="L283">
        <f>_xlfn.XLOOKUP(checking_account_main[[#This Row],[Month_Year]],checking_account_main[Month_Year],checking_account_main[Balance],"",0,-1)</f>
        <v>173696</v>
      </c>
    </row>
    <row r="284" spans="1:12" x14ac:dyDescent="0.3">
      <c r="A284" s="1">
        <v>44796</v>
      </c>
      <c r="B284" t="s">
        <v>300</v>
      </c>
      <c r="C284" t="s">
        <v>8</v>
      </c>
      <c r="D284" t="s">
        <v>9</v>
      </c>
      <c r="E284" t="s">
        <v>10</v>
      </c>
      <c r="F284" s="3">
        <v>995</v>
      </c>
      <c r="G284">
        <v>169287</v>
      </c>
      <c r="H284">
        <f t="shared" si="12"/>
        <v>2022</v>
      </c>
      <c r="I284" t="str">
        <f t="shared" si="13"/>
        <v>August</v>
      </c>
      <c r="J284" t="str">
        <f t="shared" si="14"/>
        <v>Q3</v>
      </c>
      <c r="K284" t="str">
        <f>TEXT(checking_account_main[[#This Row],[Date]],"mmm-yyyy")</f>
        <v>Aug-2022</v>
      </c>
      <c r="L284">
        <f>_xlfn.XLOOKUP(checking_account_main[[#This Row],[Month_Year]],checking_account_main[Month_Year],checking_account_main[Balance],"",0,-1)</f>
        <v>173696</v>
      </c>
    </row>
    <row r="285" spans="1:12" x14ac:dyDescent="0.3">
      <c r="A285" s="1">
        <v>44797</v>
      </c>
      <c r="B285" t="s">
        <v>301</v>
      </c>
      <c r="C285" t="s">
        <v>8</v>
      </c>
      <c r="D285" t="s">
        <v>9</v>
      </c>
      <c r="E285" t="s">
        <v>10</v>
      </c>
      <c r="F285" s="3">
        <v>841</v>
      </c>
      <c r="G285">
        <v>170128</v>
      </c>
      <c r="H285">
        <f t="shared" si="12"/>
        <v>2022</v>
      </c>
      <c r="I285" t="str">
        <f t="shared" si="13"/>
        <v>August</v>
      </c>
      <c r="J285" t="str">
        <f t="shared" si="14"/>
        <v>Q3</v>
      </c>
      <c r="K285" t="str">
        <f>TEXT(checking_account_main[[#This Row],[Date]],"mmm-yyyy")</f>
        <v>Aug-2022</v>
      </c>
      <c r="L285">
        <f>_xlfn.XLOOKUP(checking_account_main[[#This Row],[Month_Year]],checking_account_main[Month_Year],checking_account_main[Balance],"",0,-1)</f>
        <v>173696</v>
      </c>
    </row>
    <row r="286" spans="1:12" x14ac:dyDescent="0.3">
      <c r="A286" s="1">
        <v>44798</v>
      </c>
      <c r="B286" t="s">
        <v>302</v>
      </c>
      <c r="C286" t="s">
        <v>8</v>
      </c>
      <c r="D286" t="s">
        <v>9</v>
      </c>
      <c r="E286" t="s">
        <v>10</v>
      </c>
      <c r="F286" s="3">
        <v>826</v>
      </c>
      <c r="G286">
        <v>170954</v>
      </c>
      <c r="H286">
        <f t="shared" si="12"/>
        <v>2022</v>
      </c>
      <c r="I286" t="str">
        <f t="shared" si="13"/>
        <v>August</v>
      </c>
      <c r="J286" t="str">
        <f t="shared" si="14"/>
        <v>Q3</v>
      </c>
      <c r="K286" t="str">
        <f>TEXT(checking_account_main[[#This Row],[Date]],"mmm-yyyy")</f>
        <v>Aug-2022</v>
      </c>
      <c r="L286">
        <f>_xlfn.XLOOKUP(checking_account_main[[#This Row],[Month_Year]],checking_account_main[Month_Year],checking_account_main[Balance],"",0,-1)</f>
        <v>173696</v>
      </c>
    </row>
    <row r="287" spans="1:12" x14ac:dyDescent="0.3">
      <c r="A287" s="1">
        <v>44799</v>
      </c>
      <c r="B287" t="s">
        <v>303</v>
      </c>
      <c r="C287" t="s">
        <v>8</v>
      </c>
      <c r="D287" t="s">
        <v>9</v>
      </c>
      <c r="E287" t="s">
        <v>10</v>
      </c>
      <c r="F287" s="3">
        <v>631</v>
      </c>
      <c r="G287">
        <v>171585</v>
      </c>
      <c r="H287">
        <f t="shared" si="12"/>
        <v>2022</v>
      </c>
      <c r="I287" t="str">
        <f t="shared" si="13"/>
        <v>August</v>
      </c>
      <c r="J287" t="str">
        <f t="shared" si="14"/>
        <v>Q3</v>
      </c>
      <c r="K287" t="str">
        <f>TEXT(checking_account_main[[#This Row],[Date]],"mmm-yyyy")</f>
        <v>Aug-2022</v>
      </c>
      <c r="L287">
        <f>_xlfn.XLOOKUP(checking_account_main[[#This Row],[Month_Year]],checking_account_main[Month_Year],checking_account_main[Balance],"",0,-1)</f>
        <v>173696</v>
      </c>
    </row>
    <row r="288" spans="1:12" x14ac:dyDescent="0.3">
      <c r="A288" s="1">
        <v>44800</v>
      </c>
      <c r="B288" t="s">
        <v>304</v>
      </c>
      <c r="C288" t="s">
        <v>8</v>
      </c>
      <c r="D288" t="s">
        <v>9</v>
      </c>
      <c r="E288" t="s">
        <v>10</v>
      </c>
      <c r="F288" s="3">
        <v>751</v>
      </c>
      <c r="G288">
        <v>172336</v>
      </c>
      <c r="H288">
        <f t="shared" si="12"/>
        <v>2022</v>
      </c>
      <c r="I288" t="str">
        <f t="shared" si="13"/>
        <v>August</v>
      </c>
      <c r="J288" t="str">
        <f t="shared" si="14"/>
        <v>Q3</v>
      </c>
      <c r="K288" t="str">
        <f>TEXT(checking_account_main[[#This Row],[Date]],"mmm-yyyy")</f>
        <v>Aug-2022</v>
      </c>
      <c r="L288">
        <f>_xlfn.XLOOKUP(checking_account_main[[#This Row],[Month_Year]],checking_account_main[Month_Year],checking_account_main[Balance],"",0,-1)</f>
        <v>173696</v>
      </c>
    </row>
    <row r="289" spans="1:12" x14ac:dyDescent="0.3">
      <c r="A289" s="1">
        <v>44800</v>
      </c>
      <c r="B289" t="s">
        <v>305</v>
      </c>
      <c r="C289" t="s">
        <v>15</v>
      </c>
      <c r="D289" t="s">
        <v>16</v>
      </c>
      <c r="E289" t="s">
        <v>17</v>
      </c>
      <c r="F289" s="3">
        <v>463</v>
      </c>
      <c r="G289">
        <v>171873</v>
      </c>
      <c r="H289">
        <f t="shared" si="12"/>
        <v>2022</v>
      </c>
      <c r="I289" t="str">
        <f t="shared" si="13"/>
        <v>August</v>
      </c>
      <c r="J289" t="str">
        <f t="shared" si="14"/>
        <v>Q3</v>
      </c>
      <c r="K289" t="str">
        <f>TEXT(checking_account_main[[#This Row],[Date]],"mmm-yyyy")</f>
        <v>Aug-2022</v>
      </c>
      <c r="L289">
        <f>_xlfn.XLOOKUP(checking_account_main[[#This Row],[Month_Year]],checking_account_main[Month_Year],checking_account_main[Balance],"",0,-1)</f>
        <v>173696</v>
      </c>
    </row>
    <row r="290" spans="1:12" x14ac:dyDescent="0.3">
      <c r="A290" s="1">
        <v>44801</v>
      </c>
      <c r="B290" t="s">
        <v>306</v>
      </c>
      <c r="C290" t="s">
        <v>8</v>
      </c>
      <c r="D290" t="s">
        <v>9</v>
      </c>
      <c r="E290" t="s">
        <v>10</v>
      </c>
      <c r="F290" s="3">
        <v>701</v>
      </c>
      <c r="G290">
        <v>172574</v>
      </c>
      <c r="H290">
        <f t="shared" si="12"/>
        <v>2022</v>
      </c>
      <c r="I290" t="str">
        <f t="shared" si="13"/>
        <v>August</v>
      </c>
      <c r="J290" t="str">
        <f t="shared" si="14"/>
        <v>Q3</v>
      </c>
      <c r="K290" t="str">
        <f>TEXT(checking_account_main[[#This Row],[Date]],"mmm-yyyy")</f>
        <v>Aug-2022</v>
      </c>
      <c r="L290">
        <f>_xlfn.XLOOKUP(checking_account_main[[#This Row],[Month_Year]],checking_account_main[Month_Year],checking_account_main[Balance],"",0,-1)</f>
        <v>173696</v>
      </c>
    </row>
    <row r="291" spans="1:12" x14ac:dyDescent="0.3">
      <c r="A291" s="1">
        <v>44802</v>
      </c>
      <c r="B291" t="s">
        <v>307</v>
      </c>
      <c r="C291" t="s">
        <v>8</v>
      </c>
      <c r="D291" t="s">
        <v>9</v>
      </c>
      <c r="E291" t="s">
        <v>10</v>
      </c>
      <c r="F291" s="3">
        <v>538</v>
      </c>
      <c r="G291">
        <v>173112</v>
      </c>
      <c r="H291">
        <f t="shared" si="12"/>
        <v>2022</v>
      </c>
      <c r="I291" t="str">
        <f t="shared" si="13"/>
        <v>August</v>
      </c>
      <c r="J291" t="str">
        <f t="shared" si="14"/>
        <v>Q3</v>
      </c>
      <c r="K291" t="str">
        <f>TEXT(checking_account_main[[#This Row],[Date]],"mmm-yyyy")</f>
        <v>Aug-2022</v>
      </c>
      <c r="L291">
        <f>_xlfn.XLOOKUP(checking_account_main[[#This Row],[Month_Year]],checking_account_main[Month_Year],checking_account_main[Balance],"",0,-1)</f>
        <v>173696</v>
      </c>
    </row>
    <row r="292" spans="1:12" x14ac:dyDescent="0.3">
      <c r="A292" s="1">
        <v>44803</v>
      </c>
      <c r="B292" t="s">
        <v>308</v>
      </c>
      <c r="C292" t="s">
        <v>8</v>
      </c>
      <c r="D292" t="s">
        <v>9</v>
      </c>
      <c r="E292" t="s">
        <v>10</v>
      </c>
      <c r="F292" s="3">
        <v>672</v>
      </c>
      <c r="G292">
        <v>173784</v>
      </c>
      <c r="H292">
        <f t="shared" si="12"/>
        <v>2022</v>
      </c>
      <c r="I292" t="str">
        <f t="shared" si="13"/>
        <v>August</v>
      </c>
      <c r="J292" t="str">
        <f t="shared" si="14"/>
        <v>Q3</v>
      </c>
      <c r="K292" t="str">
        <f>TEXT(checking_account_main[[#This Row],[Date]],"mmm-yyyy")</f>
        <v>Aug-2022</v>
      </c>
      <c r="L292">
        <f>_xlfn.XLOOKUP(checking_account_main[[#This Row],[Month_Year]],checking_account_main[Month_Year],checking_account_main[Balance],"",0,-1)</f>
        <v>173696</v>
      </c>
    </row>
    <row r="293" spans="1:12" x14ac:dyDescent="0.3">
      <c r="A293" s="1">
        <v>44803</v>
      </c>
      <c r="B293" t="s">
        <v>309</v>
      </c>
      <c r="C293" t="s">
        <v>47</v>
      </c>
      <c r="D293" t="s">
        <v>29</v>
      </c>
      <c r="E293" t="s">
        <v>17</v>
      </c>
      <c r="F293" s="3">
        <v>319</v>
      </c>
      <c r="G293">
        <v>173465</v>
      </c>
      <c r="H293">
        <f t="shared" si="12"/>
        <v>2022</v>
      </c>
      <c r="I293" t="str">
        <f t="shared" si="13"/>
        <v>August</v>
      </c>
      <c r="J293" t="str">
        <f t="shared" si="14"/>
        <v>Q3</v>
      </c>
      <c r="K293" t="str">
        <f>TEXT(checking_account_main[[#This Row],[Date]],"mmm-yyyy")</f>
        <v>Aug-2022</v>
      </c>
      <c r="L293">
        <f>_xlfn.XLOOKUP(checking_account_main[[#This Row],[Month_Year]],checking_account_main[Month_Year],checking_account_main[Balance],"",0,-1)</f>
        <v>173696</v>
      </c>
    </row>
    <row r="294" spans="1:12" x14ac:dyDescent="0.3">
      <c r="A294" s="1">
        <v>44804</v>
      </c>
      <c r="B294" t="s">
        <v>310</v>
      </c>
      <c r="C294" t="s">
        <v>8</v>
      </c>
      <c r="D294" t="s">
        <v>9</v>
      </c>
      <c r="E294" t="s">
        <v>10</v>
      </c>
      <c r="F294" s="3">
        <v>647</v>
      </c>
      <c r="G294">
        <v>174112</v>
      </c>
      <c r="H294">
        <f t="shared" si="12"/>
        <v>2022</v>
      </c>
      <c r="I294" t="str">
        <f t="shared" si="13"/>
        <v>August</v>
      </c>
      <c r="J294" t="str">
        <f t="shared" si="14"/>
        <v>Q3</v>
      </c>
      <c r="K294" t="str">
        <f>TEXT(checking_account_main[[#This Row],[Date]],"mmm-yyyy")</f>
        <v>Aug-2022</v>
      </c>
      <c r="L294">
        <f>_xlfn.XLOOKUP(checking_account_main[[#This Row],[Month_Year]],checking_account_main[Month_Year],checking_account_main[Balance],"",0,-1)</f>
        <v>173696</v>
      </c>
    </row>
    <row r="295" spans="1:12" x14ac:dyDescent="0.3">
      <c r="A295" s="1">
        <v>44804</v>
      </c>
      <c r="B295" t="s">
        <v>311</v>
      </c>
      <c r="C295" t="s">
        <v>28</v>
      </c>
      <c r="D295" t="s">
        <v>29</v>
      </c>
      <c r="E295" t="s">
        <v>17</v>
      </c>
      <c r="F295" s="3">
        <v>416</v>
      </c>
      <c r="G295">
        <v>173696</v>
      </c>
      <c r="H295">
        <f t="shared" si="12"/>
        <v>2022</v>
      </c>
      <c r="I295" t="str">
        <f t="shared" si="13"/>
        <v>August</v>
      </c>
      <c r="J295" t="str">
        <f t="shared" si="14"/>
        <v>Q3</v>
      </c>
      <c r="K295" t="str">
        <f>TEXT(checking_account_main[[#This Row],[Date]],"mmm-yyyy")</f>
        <v>Aug-2022</v>
      </c>
      <c r="L295">
        <f>_xlfn.XLOOKUP(checking_account_main[[#This Row],[Month_Year]],checking_account_main[Month_Year],checking_account_main[Balance],"",0,-1)</f>
        <v>173696</v>
      </c>
    </row>
    <row r="296" spans="1:12" x14ac:dyDescent="0.3">
      <c r="A296" s="1">
        <v>44805</v>
      </c>
      <c r="B296" t="s">
        <v>312</v>
      </c>
      <c r="C296" t="s">
        <v>8</v>
      </c>
      <c r="D296" t="s">
        <v>9</v>
      </c>
      <c r="E296" t="s">
        <v>10</v>
      </c>
      <c r="F296" s="3">
        <v>1122</v>
      </c>
      <c r="G296">
        <v>174818</v>
      </c>
      <c r="H296">
        <f t="shared" si="12"/>
        <v>2022</v>
      </c>
      <c r="I296" t="str">
        <f t="shared" si="13"/>
        <v>September</v>
      </c>
      <c r="J296" t="str">
        <f t="shared" si="14"/>
        <v>Q3</v>
      </c>
      <c r="K296" t="str">
        <f>TEXT(checking_account_main[[#This Row],[Date]],"mmm-yyyy")</f>
        <v>Sep-2022</v>
      </c>
      <c r="L296">
        <f>_xlfn.XLOOKUP(checking_account_main[[#This Row],[Month_Year]],checking_account_main[Month_Year],checking_account_main[Balance],"",0,-1)</f>
        <v>201828</v>
      </c>
    </row>
    <row r="297" spans="1:12" x14ac:dyDescent="0.3">
      <c r="A297" s="1">
        <v>44806</v>
      </c>
      <c r="B297" t="s">
        <v>313</v>
      </c>
      <c r="C297" t="s">
        <v>8</v>
      </c>
      <c r="D297" t="s">
        <v>9</v>
      </c>
      <c r="E297" t="s">
        <v>10</v>
      </c>
      <c r="F297" s="3">
        <v>1160</v>
      </c>
      <c r="G297">
        <v>175978</v>
      </c>
      <c r="H297">
        <f t="shared" si="12"/>
        <v>2022</v>
      </c>
      <c r="I297" t="str">
        <f t="shared" si="13"/>
        <v>September</v>
      </c>
      <c r="J297" t="str">
        <f t="shared" si="14"/>
        <v>Q3</v>
      </c>
      <c r="K297" t="str">
        <f>TEXT(checking_account_main[[#This Row],[Date]],"mmm-yyyy")</f>
        <v>Sep-2022</v>
      </c>
      <c r="L297">
        <f>_xlfn.XLOOKUP(checking_account_main[[#This Row],[Month_Year]],checking_account_main[Month_Year],checking_account_main[Balance],"",0,-1)</f>
        <v>201828</v>
      </c>
    </row>
    <row r="298" spans="1:12" x14ac:dyDescent="0.3">
      <c r="A298" s="1">
        <v>44807</v>
      </c>
      <c r="B298" t="s">
        <v>314</v>
      </c>
      <c r="C298" t="s">
        <v>8</v>
      </c>
      <c r="D298" t="s">
        <v>9</v>
      </c>
      <c r="E298" t="s">
        <v>10</v>
      </c>
      <c r="F298" s="3">
        <v>890</v>
      </c>
      <c r="G298">
        <v>176868</v>
      </c>
      <c r="H298">
        <f t="shared" si="12"/>
        <v>2022</v>
      </c>
      <c r="I298" t="str">
        <f t="shared" si="13"/>
        <v>September</v>
      </c>
      <c r="J298" t="str">
        <f t="shared" si="14"/>
        <v>Q3</v>
      </c>
      <c r="K298" t="str">
        <f>TEXT(checking_account_main[[#This Row],[Date]],"mmm-yyyy")</f>
        <v>Sep-2022</v>
      </c>
      <c r="L298">
        <f>_xlfn.XLOOKUP(checking_account_main[[#This Row],[Month_Year]],checking_account_main[Month_Year],checking_account_main[Balance],"",0,-1)</f>
        <v>201828</v>
      </c>
    </row>
    <row r="299" spans="1:12" x14ac:dyDescent="0.3">
      <c r="A299" s="1">
        <v>44808</v>
      </c>
      <c r="B299" t="s">
        <v>315</v>
      </c>
      <c r="C299" t="s">
        <v>8</v>
      </c>
      <c r="D299" t="s">
        <v>9</v>
      </c>
      <c r="E299" t="s">
        <v>10</v>
      </c>
      <c r="F299" s="3">
        <v>1108</v>
      </c>
      <c r="G299">
        <v>177976</v>
      </c>
      <c r="H299">
        <f t="shared" si="12"/>
        <v>2022</v>
      </c>
      <c r="I299" t="str">
        <f t="shared" si="13"/>
        <v>September</v>
      </c>
      <c r="J299" t="str">
        <f t="shared" si="14"/>
        <v>Q3</v>
      </c>
      <c r="K299" t="str">
        <f>TEXT(checking_account_main[[#This Row],[Date]],"mmm-yyyy")</f>
        <v>Sep-2022</v>
      </c>
      <c r="L299">
        <f>_xlfn.XLOOKUP(checking_account_main[[#This Row],[Month_Year]],checking_account_main[Month_Year],checking_account_main[Balance],"",0,-1)</f>
        <v>201828</v>
      </c>
    </row>
    <row r="300" spans="1:12" x14ac:dyDescent="0.3">
      <c r="A300" s="1">
        <v>44809</v>
      </c>
      <c r="B300" t="s">
        <v>316</v>
      </c>
      <c r="C300" t="s">
        <v>8</v>
      </c>
      <c r="D300" t="s">
        <v>9</v>
      </c>
      <c r="E300" t="s">
        <v>10</v>
      </c>
      <c r="F300" s="3">
        <v>1121</v>
      </c>
      <c r="G300">
        <v>179097</v>
      </c>
      <c r="H300">
        <f t="shared" si="12"/>
        <v>2022</v>
      </c>
      <c r="I300" t="str">
        <f t="shared" si="13"/>
        <v>September</v>
      </c>
      <c r="J300" t="str">
        <f t="shared" si="14"/>
        <v>Q3</v>
      </c>
      <c r="K300" t="str">
        <f>TEXT(checking_account_main[[#This Row],[Date]],"mmm-yyyy")</f>
        <v>Sep-2022</v>
      </c>
      <c r="L300">
        <f>_xlfn.XLOOKUP(checking_account_main[[#This Row],[Month_Year]],checking_account_main[Month_Year],checking_account_main[Balance],"",0,-1)</f>
        <v>201828</v>
      </c>
    </row>
    <row r="301" spans="1:12" x14ac:dyDescent="0.3">
      <c r="A301" s="1">
        <v>44810</v>
      </c>
      <c r="B301" t="s">
        <v>317</v>
      </c>
      <c r="C301" t="s">
        <v>8</v>
      </c>
      <c r="D301" t="s">
        <v>9</v>
      </c>
      <c r="E301" t="s">
        <v>10</v>
      </c>
      <c r="F301" s="3">
        <v>757</v>
      </c>
      <c r="G301">
        <v>179854</v>
      </c>
      <c r="H301">
        <f t="shared" si="12"/>
        <v>2022</v>
      </c>
      <c r="I301" t="str">
        <f t="shared" si="13"/>
        <v>September</v>
      </c>
      <c r="J301" t="str">
        <f t="shared" si="14"/>
        <v>Q3</v>
      </c>
      <c r="K301" t="str">
        <f>TEXT(checking_account_main[[#This Row],[Date]],"mmm-yyyy")</f>
        <v>Sep-2022</v>
      </c>
      <c r="L301">
        <f>_xlfn.XLOOKUP(checking_account_main[[#This Row],[Month_Year]],checking_account_main[Month_Year],checking_account_main[Balance],"",0,-1)</f>
        <v>201828</v>
      </c>
    </row>
    <row r="302" spans="1:12" x14ac:dyDescent="0.3">
      <c r="A302" s="1">
        <v>44810</v>
      </c>
      <c r="B302" t="s">
        <v>318</v>
      </c>
      <c r="C302" t="s">
        <v>74</v>
      </c>
      <c r="D302" t="s">
        <v>16</v>
      </c>
      <c r="E302" t="s">
        <v>17</v>
      </c>
      <c r="F302" s="3">
        <v>259</v>
      </c>
      <c r="G302">
        <v>179595</v>
      </c>
      <c r="H302">
        <f t="shared" si="12"/>
        <v>2022</v>
      </c>
      <c r="I302" t="str">
        <f t="shared" si="13"/>
        <v>September</v>
      </c>
      <c r="J302" t="str">
        <f t="shared" si="14"/>
        <v>Q3</v>
      </c>
      <c r="K302" t="str">
        <f>TEXT(checking_account_main[[#This Row],[Date]],"mmm-yyyy")</f>
        <v>Sep-2022</v>
      </c>
      <c r="L302">
        <f>_xlfn.XLOOKUP(checking_account_main[[#This Row],[Month_Year]],checking_account_main[Month_Year],checking_account_main[Balance],"",0,-1)</f>
        <v>201828</v>
      </c>
    </row>
    <row r="303" spans="1:12" x14ac:dyDescent="0.3">
      <c r="A303" s="1">
        <v>44811</v>
      </c>
      <c r="B303" t="s">
        <v>319</v>
      </c>
      <c r="C303" t="s">
        <v>8</v>
      </c>
      <c r="D303" t="s">
        <v>9</v>
      </c>
      <c r="E303" t="s">
        <v>10</v>
      </c>
      <c r="F303" s="3">
        <v>1016</v>
      </c>
      <c r="G303">
        <v>180611</v>
      </c>
      <c r="H303">
        <f t="shared" si="12"/>
        <v>2022</v>
      </c>
      <c r="I303" t="str">
        <f t="shared" si="13"/>
        <v>September</v>
      </c>
      <c r="J303" t="str">
        <f t="shared" si="14"/>
        <v>Q3</v>
      </c>
      <c r="K303" t="str">
        <f>TEXT(checking_account_main[[#This Row],[Date]],"mmm-yyyy")</f>
        <v>Sep-2022</v>
      </c>
      <c r="L303">
        <f>_xlfn.XLOOKUP(checking_account_main[[#This Row],[Month_Year]],checking_account_main[Month_Year],checking_account_main[Balance],"",0,-1)</f>
        <v>201828</v>
      </c>
    </row>
    <row r="304" spans="1:12" x14ac:dyDescent="0.3">
      <c r="A304" s="1">
        <v>44812</v>
      </c>
      <c r="B304" t="s">
        <v>320</v>
      </c>
      <c r="C304" t="s">
        <v>8</v>
      </c>
      <c r="D304" t="s">
        <v>9</v>
      </c>
      <c r="E304" t="s">
        <v>10</v>
      </c>
      <c r="F304" s="3">
        <v>779</v>
      </c>
      <c r="G304">
        <v>181390</v>
      </c>
      <c r="H304">
        <f t="shared" si="12"/>
        <v>2022</v>
      </c>
      <c r="I304" t="str">
        <f t="shared" si="13"/>
        <v>September</v>
      </c>
      <c r="J304" t="str">
        <f t="shared" si="14"/>
        <v>Q3</v>
      </c>
      <c r="K304" t="str">
        <f>TEXT(checking_account_main[[#This Row],[Date]],"mmm-yyyy")</f>
        <v>Sep-2022</v>
      </c>
      <c r="L304">
        <f>_xlfn.XLOOKUP(checking_account_main[[#This Row],[Month_Year]],checking_account_main[Month_Year],checking_account_main[Balance],"",0,-1)</f>
        <v>201828</v>
      </c>
    </row>
    <row r="305" spans="1:12" x14ac:dyDescent="0.3">
      <c r="A305" s="1">
        <v>44813</v>
      </c>
      <c r="B305" t="s">
        <v>321</v>
      </c>
      <c r="C305" t="s">
        <v>8</v>
      </c>
      <c r="D305" t="s">
        <v>9</v>
      </c>
      <c r="E305" t="s">
        <v>10</v>
      </c>
      <c r="F305" s="3">
        <v>902</v>
      </c>
      <c r="G305">
        <v>182292</v>
      </c>
      <c r="H305">
        <f t="shared" si="12"/>
        <v>2022</v>
      </c>
      <c r="I305" t="str">
        <f t="shared" si="13"/>
        <v>September</v>
      </c>
      <c r="J305" t="str">
        <f t="shared" si="14"/>
        <v>Q3</v>
      </c>
      <c r="K305" t="str">
        <f>TEXT(checking_account_main[[#This Row],[Date]],"mmm-yyyy")</f>
        <v>Sep-2022</v>
      </c>
      <c r="L305">
        <f>_xlfn.XLOOKUP(checking_account_main[[#This Row],[Month_Year]],checking_account_main[Month_Year],checking_account_main[Balance],"",0,-1)</f>
        <v>201828</v>
      </c>
    </row>
    <row r="306" spans="1:12" x14ac:dyDescent="0.3">
      <c r="A306" s="1">
        <v>44814</v>
      </c>
      <c r="B306" t="s">
        <v>322</v>
      </c>
      <c r="C306" t="s">
        <v>8</v>
      </c>
      <c r="D306" t="s">
        <v>9</v>
      </c>
      <c r="E306" t="s">
        <v>10</v>
      </c>
      <c r="F306" s="3">
        <v>863</v>
      </c>
      <c r="G306">
        <v>183155</v>
      </c>
      <c r="H306">
        <f t="shared" si="12"/>
        <v>2022</v>
      </c>
      <c r="I306" t="str">
        <f t="shared" si="13"/>
        <v>September</v>
      </c>
      <c r="J306" t="str">
        <f t="shared" si="14"/>
        <v>Q3</v>
      </c>
      <c r="K306" t="str">
        <f>TEXT(checking_account_main[[#This Row],[Date]],"mmm-yyyy")</f>
        <v>Sep-2022</v>
      </c>
      <c r="L306">
        <f>_xlfn.XLOOKUP(checking_account_main[[#This Row],[Month_Year]],checking_account_main[Month_Year],checking_account_main[Balance],"",0,-1)</f>
        <v>201828</v>
      </c>
    </row>
    <row r="307" spans="1:12" x14ac:dyDescent="0.3">
      <c r="A307" s="1">
        <v>44815</v>
      </c>
      <c r="B307" t="s">
        <v>323</v>
      </c>
      <c r="C307" t="s">
        <v>8</v>
      </c>
      <c r="D307" t="s">
        <v>9</v>
      </c>
      <c r="E307" t="s">
        <v>10</v>
      </c>
      <c r="F307" s="3">
        <v>719</v>
      </c>
      <c r="G307">
        <v>183874</v>
      </c>
      <c r="H307">
        <f t="shared" si="12"/>
        <v>2022</v>
      </c>
      <c r="I307" t="str">
        <f t="shared" si="13"/>
        <v>September</v>
      </c>
      <c r="J307" t="str">
        <f t="shared" si="14"/>
        <v>Q3</v>
      </c>
      <c r="K307" t="str">
        <f>TEXT(checking_account_main[[#This Row],[Date]],"mmm-yyyy")</f>
        <v>Sep-2022</v>
      </c>
      <c r="L307">
        <f>_xlfn.XLOOKUP(checking_account_main[[#This Row],[Month_Year]],checking_account_main[Month_Year],checking_account_main[Balance],"",0,-1)</f>
        <v>201828</v>
      </c>
    </row>
    <row r="308" spans="1:12" x14ac:dyDescent="0.3">
      <c r="A308" s="1">
        <v>44815</v>
      </c>
      <c r="B308" t="s">
        <v>324</v>
      </c>
      <c r="C308" t="s">
        <v>28</v>
      </c>
      <c r="D308" t="s">
        <v>29</v>
      </c>
      <c r="E308" t="s">
        <v>17</v>
      </c>
      <c r="F308" s="3">
        <v>146</v>
      </c>
      <c r="G308">
        <v>183728</v>
      </c>
      <c r="H308">
        <f t="shared" si="12"/>
        <v>2022</v>
      </c>
      <c r="I308" t="str">
        <f t="shared" si="13"/>
        <v>September</v>
      </c>
      <c r="J308" t="str">
        <f t="shared" si="14"/>
        <v>Q3</v>
      </c>
      <c r="K308" t="str">
        <f>TEXT(checking_account_main[[#This Row],[Date]],"mmm-yyyy")</f>
        <v>Sep-2022</v>
      </c>
      <c r="L308">
        <f>_xlfn.XLOOKUP(checking_account_main[[#This Row],[Month_Year]],checking_account_main[Month_Year],checking_account_main[Balance],"",0,-1)</f>
        <v>201828</v>
      </c>
    </row>
    <row r="309" spans="1:12" x14ac:dyDescent="0.3">
      <c r="A309" s="1">
        <v>44816</v>
      </c>
      <c r="B309" t="s">
        <v>325</v>
      </c>
      <c r="C309" t="s">
        <v>8</v>
      </c>
      <c r="D309" t="s">
        <v>9</v>
      </c>
      <c r="E309" t="s">
        <v>10</v>
      </c>
      <c r="F309" s="3">
        <v>1004</v>
      </c>
      <c r="G309">
        <v>184732</v>
      </c>
      <c r="H309">
        <f t="shared" si="12"/>
        <v>2022</v>
      </c>
      <c r="I309" t="str">
        <f t="shared" si="13"/>
        <v>September</v>
      </c>
      <c r="J309" t="str">
        <f t="shared" si="14"/>
        <v>Q3</v>
      </c>
      <c r="K309" t="str">
        <f>TEXT(checking_account_main[[#This Row],[Date]],"mmm-yyyy")</f>
        <v>Sep-2022</v>
      </c>
      <c r="L309">
        <f>_xlfn.XLOOKUP(checking_account_main[[#This Row],[Month_Year]],checking_account_main[Month_Year],checking_account_main[Balance],"",0,-1)</f>
        <v>201828</v>
      </c>
    </row>
    <row r="310" spans="1:12" x14ac:dyDescent="0.3">
      <c r="A310" s="1">
        <v>44817</v>
      </c>
      <c r="B310" t="s">
        <v>326</v>
      </c>
      <c r="C310" t="s">
        <v>8</v>
      </c>
      <c r="D310" t="s">
        <v>9</v>
      </c>
      <c r="E310" t="s">
        <v>10</v>
      </c>
      <c r="F310" s="3">
        <v>1114</v>
      </c>
      <c r="G310">
        <v>185846</v>
      </c>
      <c r="H310">
        <f t="shared" si="12"/>
        <v>2022</v>
      </c>
      <c r="I310" t="str">
        <f t="shared" si="13"/>
        <v>September</v>
      </c>
      <c r="J310" t="str">
        <f t="shared" si="14"/>
        <v>Q3</v>
      </c>
      <c r="K310" t="str">
        <f>TEXT(checking_account_main[[#This Row],[Date]],"mmm-yyyy")</f>
        <v>Sep-2022</v>
      </c>
      <c r="L310">
        <f>_xlfn.XLOOKUP(checking_account_main[[#This Row],[Month_Year]],checking_account_main[Month_Year],checking_account_main[Balance],"",0,-1)</f>
        <v>201828</v>
      </c>
    </row>
    <row r="311" spans="1:12" x14ac:dyDescent="0.3">
      <c r="A311" s="1">
        <v>44818</v>
      </c>
      <c r="B311" t="s">
        <v>327</v>
      </c>
      <c r="C311" t="s">
        <v>8</v>
      </c>
      <c r="D311" t="s">
        <v>9</v>
      </c>
      <c r="E311" t="s">
        <v>10</v>
      </c>
      <c r="F311" s="3">
        <v>753</v>
      </c>
      <c r="G311">
        <v>186599</v>
      </c>
      <c r="H311">
        <f t="shared" si="12"/>
        <v>2022</v>
      </c>
      <c r="I311" t="str">
        <f t="shared" si="13"/>
        <v>September</v>
      </c>
      <c r="J311" t="str">
        <f t="shared" si="14"/>
        <v>Q3</v>
      </c>
      <c r="K311" t="str">
        <f>TEXT(checking_account_main[[#This Row],[Date]],"mmm-yyyy")</f>
        <v>Sep-2022</v>
      </c>
      <c r="L311">
        <f>_xlfn.XLOOKUP(checking_account_main[[#This Row],[Month_Year]],checking_account_main[Month_Year],checking_account_main[Balance],"",0,-1)</f>
        <v>201828</v>
      </c>
    </row>
    <row r="312" spans="1:12" x14ac:dyDescent="0.3">
      <c r="A312" s="1">
        <v>44819</v>
      </c>
      <c r="B312" t="s">
        <v>328</v>
      </c>
      <c r="C312" t="s">
        <v>8</v>
      </c>
      <c r="D312" t="s">
        <v>9</v>
      </c>
      <c r="E312" t="s">
        <v>10</v>
      </c>
      <c r="F312" s="3">
        <v>843</v>
      </c>
      <c r="G312">
        <v>187442</v>
      </c>
      <c r="H312">
        <f t="shared" si="12"/>
        <v>2022</v>
      </c>
      <c r="I312" t="str">
        <f t="shared" si="13"/>
        <v>September</v>
      </c>
      <c r="J312" t="str">
        <f t="shared" si="14"/>
        <v>Q3</v>
      </c>
      <c r="K312" t="str">
        <f>TEXT(checking_account_main[[#This Row],[Date]],"mmm-yyyy")</f>
        <v>Sep-2022</v>
      </c>
      <c r="L312">
        <f>_xlfn.XLOOKUP(checking_account_main[[#This Row],[Month_Year]],checking_account_main[Month_Year],checking_account_main[Balance],"",0,-1)</f>
        <v>201828</v>
      </c>
    </row>
    <row r="313" spans="1:12" x14ac:dyDescent="0.3">
      <c r="A313" s="1">
        <v>44820</v>
      </c>
      <c r="B313" t="s">
        <v>329</v>
      </c>
      <c r="C313" t="s">
        <v>8</v>
      </c>
      <c r="D313" t="s">
        <v>9</v>
      </c>
      <c r="E313" t="s">
        <v>10</v>
      </c>
      <c r="F313" s="3">
        <v>1158</v>
      </c>
      <c r="G313">
        <v>188600</v>
      </c>
      <c r="H313">
        <f t="shared" si="12"/>
        <v>2022</v>
      </c>
      <c r="I313" t="str">
        <f t="shared" si="13"/>
        <v>September</v>
      </c>
      <c r="J313" t="str">
        <f t="shared" si="14"/>
        <v>Q3</v>
      </c>
      <c r="K313" t="str">
        <f>TEXT(checking_account_main[[#This Row],[Date]],"mmm-yyyy")</f>
        <v>Sep-2022</v>
      </c>
      <c r="L313">
        <f>_xlfn.XLOOKUP(checking_account_main[[#This Row],[Month_Year]],checking_account_main[Month_Year],checking_account_main[Balance],"",0,-1)</f>
        <v>201828</v>
      </c>
    </row>
    <row r="314" spans="1:12" x14ac:dyDescent="0.3">
      <c r="A314" s="1">
        <v>44821</v>
      </c>
      <c r="B314" t="s">
        <v>330</v>
      </c>
      <c r="C314" t="s">
        <v>8</v>
      </c>
      <c r="D314" t="s">
        <v>9</v>
      </c>
      <c r="E314" t="s">
        <v>10</v>
      </c>
      <c r="F314" s="3">
        <v>923</v>
      </c>
      <c r="G314">
        <v>189523</v>
      </c>
      <c r="H314">
        <f t="shared" si="12"/>
        <v>2022</v>
      </c>
      <c r="I314" t="str">
        <f t="shared" si="13"/>
        <v>September</v>
      </c>
      <c r="J314" t="str">
        <f t="shared" si="14"/>
        <v>Q3</v>
      </c>
      <c r="K314" t="str">
        <f>TEXT(checking_account_main[[#This Row],[Date]],"mmm-yyyy")</f>
        <v>Sep-2022</v>
      </c>
      <c r="L314">
        <f>_xlfn.XLOOKUP(checking_account_main[[#This Row],[Month_Year]],checking_account_main[Month_Year],checking_account_main[Balance],"",0,-1)</f>
        <v>201828</v>
      </c>
    </row>
    <row r="315" spans="1:12" x14ac:dyDescent="0.3">
      <c r="A315" s="1">
        <v>44821</v>
      </c>
      <c r="B315" t="s">
        <v>331</v>
      </c>
      <c r="C315" t="s">
        <v>22</v>
      </c>
      <c r="D315" t="s">
        <v>16</v>
      </c>
      <c r="E315" t="s">
        <v>17</v>
      </c>
      <c r="F315" s="3">
        <v>457</v>
      </c>
      <c r="G315">
        <v>189066</v>
      </c>
      <c r="H315">
        <f t="shared" si="12"/>
        <v>2022</v>
      </c>
      <c r="I315" t="str">
        <f t="shared" si="13"/>
        <v>September</v>
      </c>
      <c r="J315" t="str">
        <f t="shared" si="14"/>
        <v>Q3</v>
      </c>
      <c r="K315" t="str">
        <f>TEXT(checking_account_main[[#This Row],[Date]],"mmm-yyyy")</f>
        <v>Sep-2022</v>
      </c>
      <c r="L315">
        <f>_xlfn.XLOOKUP(checking_account_main[[#This Row],[Month_Year]],checking_account_main[Month_Year],checking_account_main[Balance],"",0,-1)</f>
        <v>201828</v>
      </c>
    </row>
    <row r="316" spans="1:12" x14ac:dyDescent="0.3">
      <c r="A316" s="1">
        <v>44822</v>
      </c>
      <c r="B316" t="s">
        <v>332</v>
      </c>
      <c r="C316" t="s">
        <v>8</v>
      </c>
      <c r="D316" t="s">
        <v>9</v>
      </c>
      <c r="E316" t="s">
        <v>10</v>
      </c>
      <c r="F316" s="3">
        <v>1107</v>
      </c>
      <c r="G316">
        <v>190173</v>
      </c>
      <c r="H316">
        <f t="shared" si="12"/>
        <v>2022</v>
      </c>
      <c r="I316" t="str">
        <f t="shared" si="13"/>
        <v>September</v>
      </c>
      <c r="J316" t="str">
        <f t="shared" si="14"/>
        <v>Q3</v>
      </c>
      <c r="K316" t="str">
        <f>TEXT(checking_account_main[[#This Row],[Date]],"mmm-yyyy")</f>
        <v>Sep-2022</v>
      </c>
      <c r="L316">
        <f>_xlfn.XLOOKUP(checking_account_main[[#This Row],[Month_Year]],checking_account_main[Month_Year],checking_account_main[Balance],"",0,-1)</f>
        <v>201828</v>
      </c>
    </row>
    <row r="317" spans="1:12" x14ac:dyDescent="0.3">
      <c r="A317" s="1">
        <v>44823</v>
      </c>
      <c r="B317" t="s">
        <v>333</v>
      </c>
      <c r="C317" t="s">
        <v>8</v>
      </c>
      <c r="D317" t="s">
        <v>9</v>
      </c>
      <c r="E317" t="s">
        <v>10</v>
      </c>
      <c r="F317" s="3">
        <v>707</v>
      </c>
      <c r="G317">
        <v>190880</v>
      </c>
      <c r="H317">
        <f t="shared" si="12"/>
        <v>2022</v>
      </c>
      <c r="I317" t="str">
        <f t="shared" si="13"/>
        <v>September</v>
      </c>
      <c r="J317" t="str">
        <f t="shared" si="14"/>
        <v>Q3</v>
      </c>
      <c r="K317" t="str">
        <f>TEXT(checking_account_main[[#This Row],[Date]],"mmm-yyyy")</f>
        <v>Sep-2022</v>
      </c>
      <c r="L317">
        <f>_xlfn.XLOOKUP(checking_account_main[[#This Row],[Month_Year]],checking_account_main[Month_Year],checking_account_main[Balance],"",0,-1)</f>
        <v>201828</v>
      </c>
    </row>
    <row r="318" spans="1:12" x14ac:dyDescent="0.3">
      <c r="A318" s="1">
        <v>44823</v>
      </c>
      <c r="B318" t="s">
        <v>334</v>
      </c>
      <c r="C318" t="s">
        <v>47</v>
      </c>
      <c r="D318" t="s">
        <v>29</v>
      </c>
      <c r="E318" t="s">
        <v>17</v>
      </c>
      <c r="F318" s="3">
        <v>263</v>
      </c>
      <c r="G318">
        <v>190617</v>
      </c>
      <c r="H318">
        <f t="shared" si="12"/>
        <v>2022</v>
      </c>
      <c r="I318" t="str">
        <f t="shared" si="13"/>
        <v>September</v>
      </c>
      <c r="J318" t="str">
        <f t="shared" si="14"/>
        <v>Q3</v>
      </c>
      <c r="K318" t="str">
        <f>TEXT(checking_account_main[[#This Row],[Date]],"mmm-yyyy")</f>
        <v>Sep-2022</v>
      </c>
      <c r="L318">
        <f>_xlfn.XLOOKUP(checking_account_main[[#This Row],[Month_Year]],checking_account_main[Month_Year],checking_account_main[Balance],"",0,-1)</f>
        <v>201828</v>
      </c>
    </row>
    <row r="319" spans="1:12" x14ac:dyDescent="0.3">
      <c r="A319" s="1">
        <v>44824</v>
      </c>
      <c r="B319" t="s">
        <v>335</v>
      </c>
      <c r="C319" t="s">
        <v>8</v>
      </c>
      <c r="D319" t="s">
        <v>9</v>
      </c>
      <c r="E319" t="s">
        <v>10</v>
      </c>
      <c r="F319" s="3">
        <v>835</v>
      </c>
      <c r="G319">
        <v>191452</v>
      </c>
      <c r="H319">
        <f t="shared" si="12"/>
        <v>2022</v>
      </c>
      <c r="I319" t="str">
        <f t="shared" si="13"/>
        <v>September</v>
      </c>
      <c r="J319" t="str">
        <f t="shared" si="14"/>
        <v>Q3</v>
      </c>
      <c r="K319" t="str">
        <f>TEXT(checking_account_main[[#This Row],[Date]],"mmm-yyyy")</f>
        <v>Sep-2022</v>
      </c>
      <c r="L319">
        <f>_xlfn.XLOOKUP(checking_account_main[[#This Row],[Month_Year]],checking_account_main[Month_Year],checking_account_main[Balance],"",0,-1)</f>
        <v>201828</v>
      </c>
    </row>
    <row r="320" spans="1:12" x14ac:dyDescent="0.3">
      <c r="A320" s="1">
        <v>44825</v>
      </c>
      <c r="B320" t="s">
        <v>336</v>
      </c>
      <c r="C320" t="s">
        <v>8</v>
      </c>
      <c r="D320" t="s">
        <v>9</v>
      </c>
      <c r="E320" t="s">
        <v>10</v>
      </c>
      <c r="F320" s="3">
        <v>877</v>
      </c>
      <c r="G320">
        <v>192329</v>
      </c>
      <c r="H320">
        <f t="shared" si="12"/>
        <v>2022</v>
      </c>
      <c r="I320" t="str">
        <f t="shared" si="13"/>
        <v>September</v>
      </c>
      <c r="J320" t="str">
        <f t="shared" si="14"/>
        <v>Q3</v>
      </c>
      <c r="K320" t="str">
        <f>TEXT(checking_account_main[[#This Row],[Date]],"mmm-yyyy")</f>
        <v>Sep-2022</v>
      </c>
      <c r="L320">
        <f>_xlfn.XLOOKUP(checking_account_main[[#This Row],[Month_Year]],checking_account_main[Month_Year],checking_account_main[Balance],"",0,-1)</f>
        <v>201828</v>
      </c>
    </row>
    <row r="321" spans="1:12" x14ac:dyDescent="0.3">
      <c r="A321" s="1">
        <v>44826</v>
      </c>
      <c r="B321" t="s">
        <v>337</v>
      </c>
      <c r="C321" t="s">
        <v>8</v>
      </c>
      <c r="D321" t="s">
        <v>9</v>
      </c>
      <c r="E321" t="s">
        <v>10</v>
      </c>
      <c r="F321" s="3">
        <v>1056</v>
      </c>
      <c r="G321">
        <v>193385</v>
      </c>
      <c r="H321">
        <f t="shared" si="12"/>
        <v>2022</v>
      </c>
      <c r="I321" t="str">
        <f t="shared" si="13"/>
        <v>September</v>
      </c>
      <c r="J321" t="str">
        <f t="shared" si="14"/>
        <v>Q3</v>
      </c>
      <c r="K321" t="str">
        <f>TEXT(checking_account_main[[#This Row],[Date]],"mmm-yyyy")</f>
        <v>Sep-2022</v>
      </c>
      <c r="L321">
        <f>_xlfn.XLOOKUP(checking_account_main[[#This Row],[Month_Year]],checking_account_main[Month_Year],checking_account_main[Balance],"",0,-1)</f>
        <v>201828</v>
      </c>
    </row>
    <row r="322" spans="1:12" x14ac:dyDescent="0.3">
      <c r="A322" s="1">
        <v>44827</v>
      </c>
      <c r="B322" t="s">
        <v>338</v>
      </c>
      <c r="C322" t="s">
        <v>8</v>
      </c>
      <c r="D322" t="s">
        <v>9</v>
      </c>
      <c r="E322" t="s">
        <v>10</v>
      </c>
      <c r="F322" s="3">
        <v>891</v>
      </c>
      <c r="G322">
        <v>194276</v>
      </c>
      <c r="H322">
        <f t="shared" ref="H322:H385" si="15">YEAR(A322)</f>
        <v>2022</v>
      </c>
      <c r="I322" t="str">
        <f t="shared" ref="I322:I385" si="16">TEXT(A322,"mmmm")</f>
        <v>September</v>
      </c>
      <c r="J322" t="str">
        <f t="shared" ref="J322:J385" si="17">"Q"&amp;ROUNDUP(MONTH(A322)/3,0)</f>
        <v>Q3</v>
      </c>
      <c r="K322" t="str">
        <f>TEXT(checking_account_main[[#This Row],[Date]],"mmm-yyyy")</f>
        <v>Sep-2022</v>
      </c>
      <c r="L322">
        <f>_xlfn.XLOOKUP(checking_account_main[[#This Row],[Month_Year]],checking_account_main[Month_Year],checking_account_main[Balance],"",0,-1)</f>
        <v>201828</v>
      </c>
    </row>
    <row r="323" spans="1:12" x14ac:dyDescent="0.3">
      <c r="A323" s="1">
        <v>44828</v>
      </c>
      <c r="B323" t="s">
        <v>339</v>
      </c>
      <c r="C323" t="s">
        <v>8</v>
      </c>
      <c r="D323" t="s">
        <v>9</v>
      </c>
      <c r="E323" t="s">
        <v>10</v>
      </c>
      <c r="F323" s="3">
        <v>1146</v>
      </c>
      <c r="G323">
        <v>195422</v>
      </c>
      <c r="H323">
        <f t="shared" si="15"/>
        <v>2022</v>
      </c>
      <c r="I323" t="str">
        <f t="shared" si="16"/>
        <v>September</v>
      </c>
      <c r="J323" t="str">
        <f t="shared" si="17"/>
        <v>Q3</v>
      </c>
      <c r="K323" t="str">
        <f>TEXT(checking_account_main[[#This Row],[Date]],"mmm-yyyy")</f>
        <v>Sep-2022</v>
      </c>
      <c r="L323">
        <f>_xlfn.XLOOKUP(checking_account_main[[#This Row],[Month_Year]],checking_account_main[Month_Year],checking_account_main[Balance],"",0,-1)</f>
        <v>201828</v>
      </c>
    </row>
    <row r="324" spans="1:12" x14ac:dyDescent="0.3">
      <c r="A324" s="1">
        <v>44829</v>
      </c>
      <c r="B324" t="s">
        <v>340</v>
      </c>
      <c r="C324" t="s">
        <v>8</v>
      </c>
      <c r="D324" t="s">
        <v>9</v>
      </c>
      <c r="E324" t="s">
        <v>10</v>
      </c>
      <c r="F324" s="3">
        <v>1116</v>
      </c>
      <c r="G324">
        <v>196538</v>
      </c>
      <c r="H324">
        <f t="shared" si="15"/>
        <v>2022</v>
      </c>
      <c r="I324" t="str">
        <f t="shared" si="16"/>
        <v>September</v>
      </c>
      <c r="J324" t="str">
        <f t="shared" si="17"/>
        <v>Q3</v>
      </c>
      <c r="K324" t="str">
        <f>TEXT(checking_account_main[[#This Row],[Date]],"mmm-yyyy")</f>
        <v>Sep-2022</v>
      </c>
      <c r="L324">
        <f>_xlfn.XLOOKUP(checking_account_main[[#This Row],[Month_Year]],checking_account_main[Month_Year],checking_account_main[Balance],"",0,-1)</f>
        <v>201828</v>
      </c>
    </row>
    <row r="325" spans="1:12" x14ac:dyDescent="0.3">
      <c r="A325" s="1">
        <v>44830</v>
      </c>
      <c r="B325" t="s">
        <v>341</v>
      </c>
      <c r="C325" t="s">
        <v>8</v>
      </c>
      <c r="D325" t="s">
        <v>9</v>
      </c>
      <c r="E325" t="s">
        <v>10</v>
      </c>
      <c r="F325" s="3">
        <v>1160</v>
      </c>
      <c r="G325">
        <v>197698</v>
      </c>
      <c r="H325">
        <f t="shared" si="15"/>
        <v>2022</v>
      </c>
      <c r="I325" t="str">
        <f t="shared" si="16"/>
        <v>September</v>
      </c>
      <c r="J325" t="str">
        <f t="shared" si="17"/>
        <v>Q3</v>
      </c>
      <c r="K325" t="str">
        <f>TEXT(checking_account_main[[#This Row],[Date]],"mmm-yyyy")</f>
        <v>Sep-2022</v>
      </c>
      <c r="L325">
        <f>_xlfn.XLOOKUP(checking_account_main[[#This Row],[Month_Year]],checking_account_main[Month_Year],checking_account_main[Balance],"",0,-1)</f>
        <v>201828</v>
      </c>
    </row>
    <row r="326" spans="1:12" x14ac:dyDescent="0.3">
      <c r="A326" s="1">
        <v>44831</v>
      </c>
      <c r="B326" t="s">
        <v>342</v>
      </c>
      <c r="C326" t="s">
        <v>8</v>
      </c>
      <c r="D326" t="s">
        <v>9</v>
      </c>
      <c r="E326" t="s">
        <v>10</v>
      </c>
      <c r="F326" s="3">
        <v>1112</v>
      </c>
      <c r="G326">
        <v>198810</v>
      </c>
      <c r="H326">
        <f t="shared" si="15"/>
        <v>2022</v>
      </c>
      <c r="I326" t="str">
        <f t="shared" si="16"/>
        <v>September</v>
      </c>
      <c r="J326" t="str">
        <f t="shared" si="17"/>
        <v>Q3</v>
      </c>
      <c r="K326" t="str">
        <f>TEXT(checking_account_main[[#This Row],[Date]],"mmm-yyyy")</f>
        <v>Sep-2022</v>
      </c>
      <c r="L326">
        <f>_xlfn.XLOOKUP(checking_account_main[[#This Row],[Month_Year]],checking_account_main[Month_Year],checking_account_main[Balance],"",0,-1)</f>
        <v>201828</v>
      </c>
    </row>
    <row r="327" spans="1:12" x14ac:dyDescent="0.3">
      <c r="A327" s="1">
        <v>44831</v>
      </c>
      <c r="B327" t="s">
        <v>343</v>
      </c>
      <c r="C327" t="s">
        <v>74</v>
      </c>
      <c r="D327" t="s">
        <v>16</v>
      </c>
      <c r="E327" t="s">
        <v>17</v>
      </c>
      <c r="F327" s="3">
        <v>134</v>
      </c>
      <c r="G327">
        <v>198676</v>
      </c>
      <c r="H327">
        <f t="shared" si="15"/>
        <v>2022</v>
      </c>
      <c r="I327" t="str">
        <f t="shared" si="16"/>
        <v>September</v>
      </c>
      <c r="J327" t="str">
        <f t="shared" si="17"/>
        <v>Q3</v>
      </c>
      <c r="K327" t="str">
        <f>TEXT(checking_account_main[[#This Row],[Date]],"mmm-yyyy")</f>
        <v>Sep-2022</v>
      </c>
      <c r="L327">
        <f>_xlfn.XLOOKUP(checking_account_main[[#This Row],[Month_Year]],checking_account_main[Month_Year],checking_account_main[Balance],"",0,-1)</f>
        <v>201828</v>
      </c>
    </row>
    <row r="328" spans="1:12" x14ac:dyDescent="0.3">
      <c r="A328" s="1">
        <v>44832</v>
      </c>
      <c r="B328" t="s">
        <v>344</v>
      </c>
      <c r="C328" t="s">
        <v>8</v>
      </c>
      <c r="D328" t="s">
        <v>9</v>
      </c>
      <c r="E328" t="s">
        <v>10</v>
      </c>
      <c r="F328" s="3">
        <v>1089</v>
      </c>
      <c r="G328">
        <v>199765</v>
      </c>
      <c r="H328">
        <f t="shared" si="15"/>
        <v>2022</v>
      </c>
      <c r="I328" t="str">
        <f t="shared" si="16"/>
        <v>September</v>
      </c>
      <c r="J328" t="str">
        <f t="shared" si="17"/>
        <v>Q3</v>
      </c>
      <c r="K328" t="str">
        <f>TEXT(checking_account_main[[#This Row],[Date]],"mmm-yyyy")</f>
        <v>Sep-2022</v>
      </c>
      <c r="L328">
        <f>_xlfn.XLOOKUP(checking_account_main[[#This Row],[Month_Year]],checking_account_main[Month_Year],checking_account_main[Balance],"",0,-1)</f>
        <v>201828</v>
      </c>
    </row>
    <row r="329" spans="1:12" x14ac:dyDescent="0.3">
      <c r="A329" s="1">
        <v>44833</v>
      </c>
      <c r="B329" t="s">
        <v>345</v>
      </c>
      <c r="C329" t="s">
        <v>8</v>
      </c>
      <c r="D329" t="s">
        <v>9</v>
      </c>
      <c r="E329" t="s">
        <v>10</v>
      </c>
      <c r="F329" s="3">
        <v>955</v>
      </c>
      <c r="G329">
        <v>200720</v>
      </c>
      <c r="H329">
        <f t="shared" si="15"/>
        <v>2022</v>
      </c>
      <c r="I329" t="str">
        <f t="shared" si="16"/>
        <v>September</v>
      </c>
      <c r="J329" t="str">
        <f t="shared" si="17"/>
        <v>Q3</v>
      </c>
      <c r="K329" t="str">
        <f>TEXT(checking_account_main[[#This Row],[Date]],"mmm-yyyy")</f>
        <v>Sep-2022</v>
      </c>
      <c r="L329">
        <f>_xlfn.XLOOKUP(checking_account_main[[#This Row],[Month_Year]],checking_account_main[Month_Year],checking_account_main[Balance],"",0,-1)</f>
        <v>201828</v>
      </c>
    </row>
    <row r="330" spans="1:12" x14ac:dyDescent="0.3">
      <c r="A330" s="1">
        <v>44834</v>
      </c>
      <c r="B330" t="s">
        <v>346</v>
      </c>
      <c r="C330" t="s">
        <v>8</v>
      </c>
      <c r="D330" t="s">
        <v>9</v>
      </c>
      <c r="E330" t="s">
        <v>10</v>
      </c>
      <c r="F330" s="3">
        <v>1108</v>
      </c>
      <c r="G330">
        <v>201828</v>
      </c>
      <c r="H330">
        <f t="shared" si="15"/>
        <v>2022</v>
      </c>
      <c r="I330" t="str">
        <f t="shared" si="16"/>
        <v>September</v>
      </c>
      <c r="J330" t="str">
        <f t="shared" si="17"/>
        <v>Q3</v>
      </c>
      <c r="K330" t="str">
        <f>TEXT(checking_account_main[[#This Row],[Date]],"mmm-yyyy")</f>
        <v>Sep-2022</v>
      </c>
      <c r="L330">
        <f>_xlfn.XLOOKUP(checking_account_main[[#This Row],[Month_Year]],checking_account_main[Month_Year],checking_account_main[Balance],"",0,-1)</f>
        <v>201828</v>
      </c>
    </row>
    <row r="331" spans="1:12" x14ac:dyDescent="0.3">
      <c r="A331" s="1">
        <v>44835</v>
      </c>
      <c r="B331" t="s">
        <v>347</v>
      </c>
      <c r="C331" t="s">
        <v>8</v>
      </c>
      <c r="D331" t="s">
        <v>9</v>
      </c>
      <c r="E331" t="s">
        <v>10</v>
      </c>
      <c r="F331" s="3">
        <v>1011</v>
      </c>
      <c r="G331">
        <v>202839</v>
      </c>
      <c r="H331">
        <f t="shared" si="15"/>
        <v>2022</v>
      </c>
      <c r="I331" t="str">
        <f t="shared" si="16"/>
        <v>October</v>
      </c>
      <c r="J331" t="str">
        <f t="shared" si="17"/>
        <v>Q4</v>
      </c>
      <c r="K331" t="str">
        <f>TEXT(checking_account_main[[#This Row],[Date]],"mmm-yyyy")</f>
        <v>Oct-2022</v>
      </c>
      <c r="L331">
        <f>_xlfn.XLOOKUP(checking_account_main[[#This Row],[Month_Year]],checking_account_main[Month_Year],checking_account_main[Balance],"",0,-1)</f>
        <v>231018</v>
      </c>
    </row>
    <row r="332" spans="1:12" x14ac:dyDescent="0.3">
      <c r="A332" s="1">
        <v>44836</v>
      </c>
      <c r="B332" t="s">
        <v>348</v>
      </c>
      <c r="C332" t="s">
        <v>8</v>
      </c>
      <c r="D332" t="s">
        <v>9</v>
      </c>
      <c r="E332" t="s">
        <v>10</v>
      </c>
      <c r="F332" s="3">
        <v>950</v>
      </c>
      <c r="G332">
        <v>203789</v>
      </c>
      <c r="H332">
        <f t="shared" si="15"/>
        <v>2022</v>
      </c>
      <c r="I332" t="str">
        <f t="shared" si="16"/>
        <v>October</v>
      </c>
      <c r="J332" t="str">
        <f t="shared" si="17"/>
        <v>Q4</v>
      </c>
      <c r="K332" t="str">
        <f>TEXT(checking_account_main[[#This Row],[Date]],"mmm-yyyy")</f>
        <v>Oct-2022</v>
      </c>
      <c r="L332">
        <f>_xlfn.XLOOKUP(checking_account_main[[#This Row],[Month_Year]],checking_account_main[Month_Year],checking_account_main[Balance],"",0,-1)</f>
        <v>231018</v>
      </c>
    </row>
    <row r="333" spans="1:12" x14ac:dyDescent="0.3">
      <c r="A333" s="1">
        <v>44836</v>
      </c>
      <c r="B333" t="s">
        <v>349</v>
      </c>
      <c r="C333" t="s">
        <v>28</v>
      </c>
      <c r="D333" t="s">
        <v>29</v>
      </c>
      <c r="E333" t="s">
        <v>17</v>
      </c>
      <c r="F333" s="3">
        <v>218</v>
      </c>
      <c r="G333">
        <v>203571</v>
      </c>
      <c r="H333">
        <f t="shared" si="15"/>
        <v>2022</v>
      </c>
      <c r="I333" t="str">
        <f t="shared" si="16"/>
        <v>October</v>
      </c>
      <c r="J333" t="str">
        <f t="shared" si="17"/>
        <v>Q4</v>
      </c>
      <c r="K333" t="str">
        <f>TEXT(checking_account_main[[#This Row],[Date]],"mmm-yyyy")</f>
        <v>Oct-2022</v>
      </c>
      <c r="L333">
        <f>_xlfn.XLOOKUP(checking_account_main[[#This Row],[Month_Year]],checking_account_main[Month_Year],checking_account_main[Balance],"",0,-1)</f>
        <v>231018</v>
      </c>
    </row>
    <row r="334" spans="1:12" x14ac:dyDescent="0.3">
      <c r="A334" s="1">
        <v>44837</v>
      </c>
      <c r="B334" t="s">
        <v>350</v>
      </c>
      <c r="C334" t="s">
        <v>8</v>
      </c>
      <c r="D334" t="s">
        <v>9</v>
      </c>
      <c r="E334" t="s">
        <v>10</v>
      </c>
      <c r="F334" s="3">
        <v>1073</v>
      </c>
      <c r="G334">
        <v>204644</v>
      </c>
      <c r="H334">
        <f t="shared" si="15"/>
        <v>2022</v>
      </c>
      <c r="I334" t="str">
        <f t="shared" si="16"/>
        <v>October</v>
      </c>
      <c r="J334" t="str">
        <f t="shared" si="17"/>
        <v>Q4</v>
      </c>
      <c r="K334" t="str">
        <f>TEXT(checking_account_main[[#This Row],[Date]],"mmm-yyyy")</f>
        <v>Oct-2022</v>
      </c>
      <c r="L334">
        <f>_xlfn.XLOOKUP(checking_account_main[[#This Row],[Month_Year]],checking_account_main[Month_Year],checking_account_main[Balance],"",0,-1)</f>
        <v>231018</v>
      </c>
    </row>
    <row r="335" spans="1:12" x14ac:dyDescent="0.3">
      <c r="A335" s="1">
        <v>44838</v>
      </c>
      <c r="B335" t="s">
        <v>351</v>
      </c>
      <c r="C335" t="s">
        <v>8</v>
      </c>
      <c r="D335" t="s">
        <v>9</v>
      </c>
      <c r="E335" t="s">
        <v>10</v>
      </c>
      <c r="F335" s="3">
        <v>923</v>
      </c>
      <c r="G335">
        <v>205567</v>
      </c>
      <c r="H335">
        <f t="shared" si="15"/>
        <v>2022</v>
      </c>
      <c r="I335" t="str">
        <f t="shared" si="16"/>
        <v>October</v>
      </c>
      <c r="J335" t="str">
        <f t="shared" si="17"/>
        <v>Q4</v>
      </c>
      <c r="K335" t="str">
        <f>TEXT(checking_account_main[[#This Row],[Date]],"mmm-yyyy")</f>
        <v>Oct-2022</v>
      </c>
      <c r="L335">
        <f>_xlfn.XLOOKUP(checking_account_main[[#This Row],[Month_Year]],checking_account_main[Month_Year],checking_account_main[Balance],"",0,-1)</f>
        <v>231018</v>
      </c>
    </row>
    <row r="336" spans="1:12" x14ac:dyDescent="0.3">
      <c r="A336" s="1">
        <v>44839</v>
      </c>
      <c r="B336" t="s">
        <v>352</v>
      </c>
      <c r="C336" t="s">
        <v>8</v>
      </c>
      <c r="D336" t="s">
        <v>9</v>
      </c>
      <c r="E336" t="s">
        <v>10</v>
      </c>
      <c r="F336" s="3">
        <v>966</v>
      </c>
      <c r="G336">
        <v>206533</v>
      </c>
      <c r="H336">
        <f t="shared" si="15"/>
        <v>2022</v>
      </c>
      <c r="I336" t="str">
        <f t="shared" si="16"/>
        <v>October</v>
      </c>
      <c r="J336" t="str">
        <f t="shared" si="17"/>
        <v>Q4</v>
      </c>
      <c r="K336" t="str">
        <f>TEXT(checking_account_main[[#This Row],[Date]],"mmm-yyyy")</f>
        <v>Oct-2022</v>
      </c>
      <c r="L336">
        <f>_xlfn.XLOOKUP(checking_account_main[[#This Row],[Month_Year]],checking_account_main[Month_Year],checking_account_main[Balance],"",0,-1)</f>
        <v>231018</v>
      </c>
    </row>
    <row r="337" spans="1:12" x14ac:dyDescent="0.3">
      <c r="A337" s="1">
        <v>44840</v>
      </c>
      <c r="B337" t="s">
        <v>353</v>
      </c>
      <c r="C337" t="s">
        <v>8</v>
      </c>
      <c r="D337" t="s">
        <v>9</v>
      </c>
      <c r="E337" t="s">
        <v>10</v>
      </c>
      <c r="F337" s="3">
        <v>762</v>
      </c>
      <c r="G337">
        <v>207295</v>
      </c>
      <c r="H337">
        <f t="shared" si="15"/>
        <v>2022</v>
      </c>
      <c r="I337" t="str">
        <f t="shared" si="16"/>
        <v>October</v>
      </c>
      <c r="J337" t="str">
        <f t="shared" si="17"/>
        <v>Q4</v>
      </c>
      <c r="K337" t="str">
        <f>TEXT(checking_account_main[[#This Row],[Date]],"mmm-yyyy")</f>
        <v>Oct-2022</v>
      </c>
      <c r="L337">
        <f>_xlfn.XLOOKUP(checking_account_main[[#This Row],[Month_Year]],checking_account_main[Month_Year],checking_account_main[Balance],"",0,-1)</f>
        <v>231018</v>
      </c>
    </row>
    <row r="338" spans="1:12" x14ac:dyDescent="0.3">
      <c r="A338" s="1">
        <v>44841</v>
      </c>
      <c r="B338" t="s">
        <v>354</v>
      </c>
      <c r="C338" t="s">
        <v>8</v>
      </c>
      <c r="D338" t="s">
        <v>9</v>
      </c>
      <c r="E338" t="s">
        <v>10</v>
      </c>
      <c r="F338" s="3">
        <v>1014</v>
      </c>
      <c r="G338">
        <v>208309</v>
      </c>
      <c r="H338">
        <f t="shared" si="15"/>
        <v>2022</v>
      </c>
      <c r="I338" t="str">
        <f t="shared" si="16"/>
        <v>October</v>
      </c>
      <c r="J338" t="str">
        <f t="shared" si="17"/>
        <v>Q4</v>
      </c>
      <c r="K338" t="str">
        <f>TEXT(checking_account_main[[#This Row],[Date]],"mmm-yyyy")</f>
        <v>Oct-2022</v>
      </c>
      <c r="L338">
        <f>_xlfn.XLOOKUP(checking_account_main[[#This Row],[Month_Year]],checking_account_main[Month_Year],checking_account_main[Balance],"",0,-1)</f>
        <v>231018</v>
      </c>
    </row>
    <row r="339" spans="1:12" x14ac:dyDescent="0.3">
      <c r="A339" s="1">
        <v>44842</v>
      </c>
      <c r="B339" t="s">
        <v>355</v>
      </c>
      <c r="C339" t="s">
        <v>8</v>
      </c>
      <c r="D339" t="s">
        <v>9</v>
      </c>
      <c r="E339" t="s">
        <v>10</v>
      </c>
      <c r="F339" s="3">
        <v>1160</v>
      </c>
      <c r="G339">
        <v>209469</v>
      </c>
      <c r="H339">
        <f t="shared" si="15"/>
        <v>2022</v>
      </c>
      <c r="I339" t="str">
        <f t="shared" si="16"/>
        <v>October</v>
      </c>
      <c r="J339" t="str">
        <f t="shared" si="17"/>
        <v>Q4</v>
      </c>
      <c r="K339" t="str">
        <f>TEXT(checking_account_main[[#This Row],[Date]],"mmm-yyyy")</f>
        <v>Oct-2022</v>
      </c>
      <c r="L339">
        <f>_xlfn.XLOOKUP(checking_account_main[[#This Row],[Month_Year]],checking_account_main[Month_Year],checking_account_main[Balance],"",0,-1)</f>
        <v>231018</v>
      </c>
    </row>
    <row r="340" spans="1:12" x14ac:dyDescent="0.3">
      <c r="A340" s="1">
        <v>44842</v>
      </c>
      <c r="B340" t="s">
        <v>356</v>
      </c>
      <c r="C340" t="s">
        <v>15</v>
      </c>
      <c r="D340" t="s">
        <v>16</v>
      </c>
      <c r="E340" t="s">
        <v>17</v>
      </c>
      <c r="F340" s="3">
        <v>204</v>
      </c>
      <c r="G340">
        <v>209265</v>
      </c>
      <c r="H340">
        <f t="shared" si="15"/>
        <v>2022</v>
      </c>
      <c r="I340" t="str">
        <f t="shared" si="16"/>
        <v>October</v>
      </c>
      <c r="J340" t="str">
        <f t="shared" si="17"/>
        <v>Q4</v>
      </c>
      <c r="K340" t="str">
        <f>TEXT(checking_account_main[[#This Row],[Date]],"mmm-yyyy")</f>
        <v>Oct-2022</v>
      </c>
      <c r="L340">
        <f>_xlfn.XLOOKUP(checking_account_main[[#This Row],[Month_Year]],checking_account_main[Month_Year],checking_account_main[Balance],"",0,-1)</f>
        <v>231018</v>
      </c>
    </row>
    <row r="341" spans="1:12" x14ac:dyDescent="0.3">
      <c r="A341" s="1">
        <v>44843</v>
      </c>
      <c r="B341" t="s">
        <v>357</v>
      </c>
      <c r="C341" t="s">
        <v>8</v>
      </c>
      <c r="D341" t="s">
        <v>9</v>
      </c>
      <c r="E341" t="s">
        <v>10</v>
      </c>
      <c r="F341" s="3">
        <v>1084</v>
      </c>
      <c r="G341">
        <v>210349</v>
      </c>
      <c r="H341">
        <f t="shared" si="15"/>
        <v>2022</v>
      </c>
      <c r="I341" t="str">
        <f t="shared" si="16"/>
        <v>October</v>
      </c>
      <c r="J341" t="str">
        <f t="shared" si="17"/>
        <v>Q4</v>
      </c>
      <c r="K341" t="str">
        <f>TEXT(checking_account_main[[#This Row],[Date]],"mmm-yyyy")</f>
        <v>Oct-2022</v>
      </c>
      <c r="L341">
        <f>_xlfn.XLOOKUP(checking_account_main[[#This Row],[Month_Year]],checking_account_main[Month_Year],checking_account_main[Balance],"",0,-1)</f>
        <v>231018</v>
      </c>
    </row>
    <row r="342" spans="1:12" x14ac:dyDescent="0.3">
      <c r="A342" s="1">
        <v>44843</v>
      </c>
      <c r="B342" t="s">
        <v>358</v>
      </c>
      <c r="C342" t="s">
        <v>22</v>
      </c>
      <c r="D342" t="s">
        <v>16</v>
      </c>
      <c r="E342" t="s">
        <v>17</v>
      </c>
      <c r="F342" s="3">
        <v>410</v>
      </c>
      <c r="G342">
        <v>209939</v>
      </c>
      <c r="H342">
        <f t="shared" si="15"/>
        <v>2022</v>
      </c>
      <c r="I342" t="str">
        <f t="shared" si="16"/>
        <v>October</v>
      </c>
      <c r="J342" t="str">
        <f t="shared" si="17"/>
        <v>Q4</v>
      </c>
      <c r="K342" t="str">
        <f>TEXT(checking_account_main[[#This Row],[Date]],"mmm-yyyy")</f>
        <v>Oct-2022</v>
      </c>
      <c r="L342">
        <f>_xlfn.XLOOKUP(checking_account_main[[#This Row],[Month_Year]],checking_account_main[Month_Year],checking_account_main[Balance],"",0,-1)</f>
        <v>231018</v>
      </c>
    </row>
    <row r="343" spans="1:12" x14ac:dyDescent="0.3">
      <c r="A343" s="1">
        <v>44844</v>
      </c>
      <c r="B343" t="s">
        <v>359</v>
      </c>
      <c r="C343" t="s">
        <v>8</v>
      </c>
      <c r="D343" t="s">
        <v>9</v>
      </c>
      <c r="E343" t="s">
        <v>10</v>
      </c>
      <c r="F343" s="3">
        <v>1164</v>
      </c>
      <c r="G343">
        <v>211103</v>
      </c>
      <c r="H343">
        <f t="shared" si="15"/>
        <v>2022</v>
      </c>
      <c r="I343" t="str">
        <f t="shared" si="16"/>
        <v>October</v>
      </c>
      <c r="J343" t="str">
        <f t="shared" si="17"/>
        <v>Q4</v>
      </c>
      <c r="K343" t="str">
        <f>TEXT(checking_account_main[[#This Row],[Date]],"mmm-yyyy")</f>
        <v>Oct-2022</v>
      </c>
      <c r="L343">
        <f>_xlfn.XLOOKUP(checking_account_main[[#This Row],[Month_Year]],checking_account_main[Month_Year],checking_account_main[Balance],"",0,-1)</f>
        <v>231018</v>
      </c>
    </row>
    <row r="344" spans="1:12" x14ac:dyDescent="0.3">
      <c r="A344" s="1">
        <v>44845</v>
      </c>
      <c r="B344" t="s">
        <v>360</v>
      </c>
      <c r="C344" t="s">
        <v>8</v>
      </c>
      <c r="D344" t="s">
        <v>9</v>
      </c>
      <c r="E344" t="s">
        <v>10</v>
      </c>
      <c r="F344" s="3">
        <v>832</v>
      </c>
      <c r="G344">
        <v>211935</v>
      </c>
      <c r="H344">
        <f t="shared" si="15"/>
        <v>2022</v>
      </c>
      <c r="I344" t="str">
        <f t="shared" si="16"/>
        <v>October</v>
      </c>
      <c r="J344" t="str">
        <f t="shared" si="17"/>
        <v>Q4</v>
      </c>
      <c r="K344" t="str">
        <f>TEXT(checking_account_main[[#This Row],[Date]],"mmm-yyyy")</f>
        <v>Oct-2022</v>
      </c>
      <c r="L344">
        <f>_xlfn.XLOOKUP(checking_account_main[[#This Row],[Month_Year]],checking_account_main[Month_Year],checking_account_main[Balance],"",0,-1)</f>
        <v>231018</v>
      </c>
    </row>
    <row r="345" spans="1:12" x14ac:dyDescent="0.3">
      <c r="A345" s="1">
        <v>44846</v>
      </c>
      <c r="B345" t="s">
        <v>361</v>
      </c>
      <c r="C345" t="s">
        <v>8</v>
      </c>
      <c r="D345" t="s">
        <v>9</v>
      </c>
      <c r="E345" t="s">
        <v>10</v>
      </c>
      <c r="F345" s="3">
        <v>1136</v>
      </c>
      <c r="G345">
        <v>213071</v>
      </c>
      <c r="H345">
        <f t="shared" si="15"/>
        <v>2022</v>
      </c>
      <c r="I345" t="str">
        <f t="shared" si="16"/>
        <v>October</v>
      </c>
      <c r="J345" t="str">
        <f t="shared" si="17"/>
        <v>Q4</v>
      </c>
      <c r="K345" t="str">
        <f>TEXT(checking_account_main[[#This Row],[Date]],"mmm-yyyy")</f>
        <v>Oct-2022</v>
      </c>
      <c r="L345">
        <f>_xlfn.XLOOKUP(checking_account_main[[#This Row],[Month_Year]],checking_account_main[Month_Year],checking_account_main[Balance],"",0,-1)</f>
        <v>231018</v>
      </c>
    </row>
    <row r="346" spans="1:12" x14ac:dyDescent="0.3">
      <c r="A346" s="1">
        <v>44847</v>
      </c>
      <c r="B346" t="s">
        <v>362</v>
      </c>
      <c r="C346" t="s">
        <v>8</v>
      </c>
      <c r="D346" t="s">
        <v>9</v>
      </c>
      <c r="E346" t="s">
        <v>10</v>
      </c>
      <c r="F346" s="3">
        <v>752</v>
      </c>
      <c r="G346">
        <v>213823</v>
      </c>
      <c r="H346">
        <f t="shared" si="15"/>
        <v>2022</v>
      </c>
      <c r="I346" t="str">
        <f t="shared" si="16"/>
        <v>October</v>
      </c>
      <c r="J346" t="str">
        <f t="shared" si="17"/>
        <v>Q4</v>
      </c>
      <c r="K346" t="str">
        <f>TEXT(checking_account_main[[#This Row],[Date]],"mmm-yyyy")</f>
        <v>Oct-2022</v>
      </c>
      <c r="L346">
        <f>_xlfn.XLOOKUP(checking_account_main[[#This Row],[Month_Year]],checking_account_main[Month_Year],checking_account_main[Balance],"",0,-1)</f>
        <v>231018</v>
      </c>
    </row>
    <row r="347" spans="1:12" x14ac:dyDescent="0.3">
      <c r="A347" s="1">
        <v>44848</v>
      </c>
      <c r="B347" t="s">
        <v>363</v>
      </c>
      <c r="C347" t="s">
        <v>8</v>
      </c>
      <c r="D347" t="s">
        <v>9</v>
      </c>
      <c r="E347" t="s">
        <v>10</v>
      </c>
      <c r="F347" s="3">
        <v>1157</v>
      </c>
      <c r="G347">
        <v>214980</v>
      </c>
      <c r="H347">
        <f t="shared" si="15"/>
        <v>2022</v>
      </c>
      <c r="I347" t="str">
        <f t="shared" si="16"/>
        <v>October</v>
      </c>
      <c r="J347" t="str">
        <f t="shared" si="17"/>
        <v>Q4</v>
      </c>
      <c r="K347" t="str">
        <f>TEXT(checking_account_main[[#This Row],[Date]],"mmm-yyyy")</f>
        <v>Oct-2022</v>
      </c>
      <c r="L347">
        <f>_xlfn.XLOOKUP(checking_account_main[[#This Row],[Month_Year]],checking_account_main[Month_Year],checking_account_main[Balance],"",0,-1)</f>
        <v>231018</v>
      </c>
    </row>
    <row r="348" spans="1:12" x14ac:dyDescent="0.3">
      <c r="A348" s="1">
        <v>44849</v>
      </c>
      <c r="B348" t="s">
        <v>364</v>
      </c>
      <c r="C348" t="s">
        <v>8</v>
      </c>
      <c r="D348" t="s">
        <v>9</v>
      </c>
      <c r="E348" t="s">
        <v>10</v>
      </c>
      <c r="F348" s="3">
        <v>784</v>
      </c>
      <c r="G348">
        <v>215764</v>
      </c>
      <c r="H348">
        <f t="shared" si="15"/>
        <v>2022</v>
      </c>
      <c r="I348" t="str">
        <f t="shared" si="16"/>
        <v>October</v>
      </c>
      <c r="J348" t="str">
        <f t="shared" si="17"/>
        <v>Q4</v>
      </c>
      <c r="K348" t="str">
        <f>TEXT(checking_account_main[[#This Row],[Date]],"mmm-yyyy")</f>
        <v>Oct-2022</v>
      </c>
      <c r="L348">
        <f>_xlfn.XLOOKUP(checking_account_main[[#This Row],[Month_Year]],checking_account_main[Month_Year],checking_account_main[Balance],"",0,-1)</f>
        <v>231018</v>
      </c>
    </row>
    <row r="349" spans="1:12" x14ac:dyDescent="0.3">
      <c r="A349" s="1">
        <v>44850</v>
      </c>
      <c r="B349" t="s">
        <v>365</v>
      </c>
      <c r="C349" t="s">
        <v>8</v>
      </c>
      <c r="D349" t="s">
        <v>9</v>
      </c>
      <c r="E349" t="s">
        <v>10</v>
      </c>
      <c r="F349" s="3">
        <v>1065</v>
      </c>
      <c r="G349">
        <v>216829</v>
      </c>
      <c r="H349">
        <f t="shared" si="15"/>
        <v>2022</v>
      </c>
      <c r="I349" t="str">
        <f t="shared" si="16"/>
        <v>October</v>
      </c>
      <c r="J349" t="str">
        <f t="shared" si="17"/>
        <v>Q4</v>
      </c>
      <c r="K349" t="str">
        <f>TEXT(checking_account_main[[#This Row],[Date]],"mmm-yyyy")</f>
        <v>Oct-2022</v>
      </c>
      <c r="L349">
        <f>_xlfn.XLOOKUP(checking_account_main[[#This Row],[Month_Year]],checking_account_main[Month_Year],checking_account_main[Balance],"",0,-1)</f>
        <v>231018</v>
      </c>
    </row>
    <row r="350" spans="1:12" x14ac:dyDescent="0.3">
      <c r="A350" s="1">
        <v>44851</v>
      </c>
      <c r="B350" t="s">
        <v>366</v>
      </c>
      <c r="C350" t="s">
        <v>8</v>
      </c>
      <c r="D350" t="s">
        <v>9</v>
      </c>
      <c r="E350" t="s">
        <v>10</v>
      </c>
      <c r="F350" s="3">
        <v>872</v>
      </c>
      <c r="G350">
        <v>217701</v>
      </c>
      <c r="H350">
        <f t="shared" si="15"/>
        <v>2022</v>
      </c>
      <c r="I350" t="str">
        <f t="shared" si="16"/>
        <v>October</v>
      </c>
      <c r="J350" t="str">
        <f t="shared" si="17"/>
        <v>Q4</v>
      </c>
      <c r="K350" t="str">
        <f>TEXT(checking_account_main[[#This Row],[Date]],"mmm-yyyy")</f>
        <v>Oct-2022</v>
      </c>
      <c r="L350">
        <f>_xlfn.XLOOKUP(checking_account_main[[#This Row],[Month_Year]],checking_account_main[Month_Year],checking_account_main[Balance],"",0,-1)</f>
        <v>231018</v>
      </c>
    </row>
    <row r="351" spans="1:12" x14ac:dyDescent="0.3">
      <c r="A351" s="1">
        <v>44852</v>
      </c>
      <c r="B351" t="s">
        <v>367</v>
      </c>
      <c r="C351" t="s">
        <v>8</v>
      </c>
      <c r="D351" t="s">
        <v>9</v>
      </c>
      <c r="E351" t="s">
        <v>10</v>
      </c>
      <c r="F351" s="3">
        <v>1145</v>
      </c>
      <c r="G351">
        <v>218846</v>
      </c>
      <c r="H351">
        <f t="shared" si="15"/>
        <v>2022</v>
      </c>
      <c r="I351" t="str">
        <f t="shared" si="16"/>
        <v>October</v>
      </c>
      <c r="J351" t="str">
        <f t="shared" si="17"/>
        <v>Q4</v>
      </c>
      <c r="K351" t="str">
        <f>TEXT(checking_account_main[[#This Row],[Date]],"mmm-yyyy")</f>
        <v>Oct-2022</v>
      </c>
      <c r="L351">
        <f>_xlfn.XLOOKUP(checking_account_main[[#This Row],[Month_Year]],checking_account_main[Month_Year],checking_account_main[Balance],"",0,-1)</f>
        <v>231018</v>
      </c>
    </row>
    <row r="352" spans="1:12" x14ac:dyDescent="0.3">
      <c r="A352" s="1">
        <v>44853</v>
      </c>
      <c r="B352" t="s">
        <v>368</v>
      </c>
      <c r="C352" t="s">
        <v>8</v>
      </c>
      <c r="D352" t="s">
        <v>9</v>
      </c>
      <c r="E352" t="s">
        <v>10</v>
      </c>
      <c r="F352" s="3">
        <v>1187</v>
      </c>
      <c r="G352">
        <v>220033</v>
      </c>
      <c r="H352">
        <f t="shared" si="15"/>
        <v>2022</v>
      </c>
      <c r="I352" t="str">
        <f t="shared" si="16"/>
        <v>October</v>
      </c>
      <c r="J352" t="str">
        <f t="shared" si="17"/>
        <v>Q4</v>
      </c>
      <c r="K352" t="str">
        <f>TEXT(checking_account_main[[#This Row],[Date]],"mmm-yyyy")</f>
        <v>Oct-2022</v>
      </c>
      <c r="L352">
        <f>_xlfn.XLOOKUP(checking_account_main[[#This Row],[Month_Year]],checking_account_main[Month_Year],checking_account_main[Balance],"",0,-1)</f>
        <v>231018</v>
      </c>
    </row>
    <row r="353" spans="1:12" x14ac:dyDescent="0.3">
      <c r="A353" s="1">
        <v>44854</v>
      </c>
      <c r="B353" t="s">
        <v>369</v>
      </c>
      <c r="C353" t="s">
        <v>8</v>
      </c>
      <c r="D353" t="s">
        <v>9</v>
      </c>
      <c r="E353" t="s">
        <v>10</v>
      </c>
      <c r="F353" s="3">
        <v>1047</v>
      </c>
      <c r="G353">
        <v>221080</v>
      </c>
      <c r="H353">
        <f t="shared" si="15"/>
        <v>2022</v>
      </c>
      <c r="I353" t="str">
        <f t="shared" si="16"/>
        <v>October</v>
      </c>
      <c r="J353" t="str">
        <f t="shared" si="17"/>
        <v>Q4</v>
      </c>
      <c r="K353" t="str">
        <f>TEXT(checking_account_main[[#This Row],[Date]],"mmm-yyyy")</f>
        <v>Oct-2022</v>
      </c>
      <c r="L353">
        <f>_xlfn.XLOOKUP(checking_account_main[[#This Row],[Month_Year]],checking_account_main[Month_Year],checking_account_main[Balance],"",0,-1)</f>
        <v>231018</v>
      </c>
    </row>
    <row r="354" spans="1:12" x14ac:dyDescent="0.3">
      <c r="A354" s="1">
        <v>44855</v>
      </c>
      <c r="B354" t="s">
        <v>370</v>
      </c>
      <c r="C354" t="s">
        <v>8</v>
      </c>
      <c r="D354" t="s">
        <v>9</v>
      </c>
      <c r="E354" t="s">
        <v>10</v>
      </c>
      <c r="F354" s="3">
        <v>738</v>
      </c>
      <c r="G354">
        <v>221818</v>
      </c>
      <c r="H354">
        <f t="shared" si="15"/>
        <v>2022</v>
      </c>
      <c r="I354" t="str">
        <f t="shared" si="16"/>
        <v>October</v>
      </c>
      <c r="J354" t="str">
        <f t="shared" si="17"/>
        <v>Q4</v>
      </c>
      <c r="K354" t="str">
        <f>TEXT(checking_account_main[[#This Row],[Date]],"mmm-yyyy")</f>
        <v>Oct-2022</v>
      </c>
      <c r="L354">
        <f>_xlfn.XLOOKUP(checking_account_main[[#This Row],[Month_Year]],checking_account_main[Month_Year],checking_account_main[Balance],"",0,-1)</f>
        <v>231018</v>
      </c>
    </row>
    <row r="355" spans="1:12" x14ac:dyDescent="0.3">
      <c r="A355" s="1">
        <v>44856</v>
      </c>
      <c r="B355" t="s">
        <v>371</v>
      </c>
      <c r="C355" t="s">
        <v>8</v>
      </c>
      <c r="D355" t="s">
        <v>9</v>
      </c>
      <c r="E355" t="s">
        <v>10</v>
      </c>
      <c r="F355" s="3">
        <v>861</v>
      </c>
      <c r="G355">
        <v>222679</v>
      </c>
      <c r="H355">
        <f t="shared" si="15"/>
        <v>2022</v>
      </c>
      <c r="I355" t="str">
        <f t="shared" si="16"/>
        <v>October</v>
      </c>
      <c r="J355" t="str">
        <f t="shared" si="17"/>
        <v>Q4</v>
      </c>
      <c r="K355" t="str">
        <f>TEXT(checking_account_main[[#This Row],[Date]],"mmm-yyyy")</f>
        <v>Oct-2022</v>
      </c>
      <c r="L355">
        <f>_xlfn.XLOOKUP(checking_account_main[[#This Row],[Month_Year]],checking_account_main[Month_Year],checking_account_main[Balance],"",0,-1)</f>
        <v>231018</v>
      </c>
    </row>
    <row r="356" spans="1:12" x14ac:dyDescent="0.3">
      <c r="A356" s="1">
        <v>44857</v>
      </c>
      <c r="B356" t="s">
        <v>372</v>
      </c>
      <c r="C356" t="s">
        <v>8</v>
      </c>
      <c r="D356" t="s">
        <v>9</v>
      </c>
      <c r="E356" t="s">
        <v>10</v>
      </c>
      <c r="F356" s="3">
        <v>958</v>
      </c>
      <c r="G356">
        <v>223637</v>
      </c>
      <c r="H356">
        <f t="shared" si="15"/>
        <v>2022</v>
      </c>
      <c r="I356" t="str">
        <f t="shared" si="16"/>
        <v>October</v>
      </c>
      <c r="J356" t="str">
        <f t="shared" si="17"/>
        <v>Q4</v>
      </c>
      <c r="K356" t="str">
        <f>TEXT(checking_account_main[[#This Row],[Date]],"mmm-yyyy")</f>
        <v>Oct-2022</v>
      </c>
      <c r="L356">
        <f>_xlfn.XLOOKUP(checking_account_main[[#This Row],[Month_Year]],checking_account_main[Month_Year],checking_account_main[Balance],"",0,-1)</f>
        <v>231018</v>
      </c>
    </row>
    <row r="357" spans="1:12" x14ac:dyDescent="0.3">
      <c r="A357" s="1">
        <v>44858</v>
      </c>
      <c r="B357" t="s">
        <v>373</v>
      </c>
      <c r="C357" t="s">
        <v>8</v>
      </c>
      <c r="D357" t="s">
        <v>9</v>
      </c>
      <c r="E357" t="s">
        <v>10</v>
      </c>
      <c r="F357" s="3">
        <v>967</v>
      </c>
      <c r="G357">
        <v>224604</v>
      </c>
      <c r="H357">
        <f t="shared" si="15"/>
        <v>2022</v>
      </c>
      <c r="I357" t="str">
        <f t="shared" si="16"/>
        <v>October</v>
      </c>
      <c r="J357" t="str">
        <f t="shared" si="17"/>
        <v>Q4</v>
      </c>
      <c r="K357" t="str">
        <f>TEXT(checking_account_main[[#This Row],[Date]],"mmm-yyyy")</f>
        <v>Oct-2022</v>
      </c>
      <c r="L357">
        <f>_xlfn.XLOOKUP(checking_account_main[[#This Row],[Month_Year]],checking_account_main[Month_Year],checking_account_main[Balance],"",0,-1)</f>
        <v>231018</v>
      </c>
    </row>
    <row r="358" spans="1:12" x14ac:dyDescent="0.3">
      <c r="A358" s="1">
        <v>44859</v>
      </c>
      <c r="B358" t="s">
        <v>374</v>
      </c>
      <c r="C358" t="s">
        <v>8</v>
      </c>
      <c r="D358" t="s">
        <v>9</v>
      </c>
      <c r="E358" t="s">
        <v>10</v>
      </c>
      <c r="F358" s="3">
        <v>935</v>
      </c>
      <c r="G358">
        <v>225539</v>
      </c>
      <c r="H358">
        <f t="shared" si="15"/>
        <v>2022</v>
      </c>
      <c r="I358" t="str">
        <f t="shared" si="16"/>
        <v>October</v>
      </c>
      <c r="J358" t="str">
        <f t="shared" si="17"/>
        <v>Q4</v>
      </c>
      <c r="K358" t="str">
        <f>TEXT(checking_account_main[[#This Row],[Date]],"mmm-yyyy")</f>
        <v>Oct-2022</v>
      </c>
      <c r="L358">
        <f>_xlfn.XLOOKUP(checking_account_main[[#This Row],[Month_Year]],checking_account_main[Month_Year],checking_account_main[Balance],"",0,-1)</f>
        <v>231018</v>
      </c>
    </row>
    <row r="359" spans="1:12" x14ac:dyDescent="0.3">
      <c r="A359" s="1">
        <v>44860</v>
      </c>
      <c r="B359" t="s">
        <v>375</v>
      </c>
      <c r="C359" t="s">
        <v>8</v>
      </c>
      <c r="D359" t="s">
        <v>9</v>
      </c>
      <c r="E359" t="s">
        <v>10</v>
      </c>
      <c r="F359" s="3">
        <v>921</v>
      </c>
      <c r="G359">
        <v>226460</v>
      </c>
      <c r="H359">
        <f t="shared" si="15"/>
        <v>2022</v>
      </c>
      <c r="I359" t="str">
        <f t="shared" si="16"/>
        <v>October</v>
      </c>
      <c r="J359" t="str">
        <f t="shared" si="17"/>
        <v>Q4</v>
      </c>
      <c r="K359" t="str">
        <f>TEXT(checking_account_main[[#This Row],[Date]],"mmm-yyyy")</f>
        <v>Oct-2022</v>
      </c>
      <c r="L359">
        <f>_xlfn.XLOOKUP(checking_account_main[[#This Row],[Month_Year]],checking_account_main[Month_Year],checking_account_main[Balance],"",0,-1)</f>
        <v>231018</v>
      </c>
    </row>
    <row r="360" spans="1:12" x14ac:dyDescent="0.3">
      <c r="A360" s="1">
        <v>44861</v>
      </c>
      <c r="B360" t="s">
        <v>376</v>
      </c>
      <c r="C360" t="s">
        <v>8</v>
      </c>
      <c r="D360" t="s">
        <v>9</v>
      </c>
      <c r="E360" t="s">
        <v>10</v>
      </c>
      <c r="F360" s="3">
        <v>1100</v>
      </c>
      <c r="G360">
        <v>227560</v>
      </c>
      <c r="H360">
        <f t="shared" si="15"/>
        <v>2022</v>
      </c>
      <c r="I360" t="str">
        <f t="shared" si="16"/>
        <v>October</v>
      </c>
      <c r="J360" t="str">
        <f t="shared" si="17"/>
        <v>Q4</v>
      </c>
      <c r="K360" t="str">
        <f>TEXT(checking_account_main[[#This Row],[Date]],"mmm-yyyy")</f>
        <v>Oct-2022</v>
      </c>
      <c r="L360">
        <f>_xlfn.XLOOKUP(checking_account_main[[#This Row],[Month_Year]],checking_account_main[Month_Year],checking_account_main[Balance],"",0,-1)</f>
        <v>231018</v>
      </c>
    </row>
    <row r="361" spans="1:12" x14ac:dyDescent="0.3">
      <c r="A361" s="1">
        <v>44861</v>
      </c>
      <c r="B361" t="s">
        <v>377</v>
      </c>
      <c r="C361" t="s">
        <v>74</v>
      </c>
      <c r="D361" t="s">
        <v>16</v>
      </c>
      <c r="E361" t="s">
        <v>17</v>
      </c>
      <c r="F361" s="3">
        <v>402</v>
      </c>
      <c r="G361">
        <v>227158</v>
      </c>
      <c r="H361">
        <f t="shared" si="15"/>
        <v>2022</v>
      </c>
      <c r="I361" t="str">
        <f t="shared" si="16"/>
        <v>October</v>
      </c>
      <c r="J361" t="str">
        <f t="shared" si="17"/>
        <v>Q4</v>
      </c>
      <c r="K361" t="str">
        <f>TEXT(checking_account_main[[#This Row],[Date]],"mmm-yyyy")</f>
        <v>Oct-2022</v>
      </c>
      <c r="L361">
        <f>_xlfn.XLOOKUP(checking_account_main[[#This Row],[Month_Year]],checking_account_main[Month_Year],checking_account_main[Balance],"",0,-1)</f>
        <v>231018</v>
      </c>
    </row>
    <row r="362" spans="1:12" x14ac:dyDescent="0.3">
      <c r="A362" s="1">
        <v>44862</v>
      </c>
      <c r="B362" t="s">
        <v>378</v>
      </c>
      <c r="C362" t="s">
        <v>8</v>
      </c>
      <c r="D362" t="s">
        <v>9</v>
      </c>
      <c r="E362" t="s">
        <v>10</v>
      </c>
      <c r="F362" s="3">
        <v>1040</v>
      </c>
      <c r="G362">
        <v>228198</v>
      </c>
      <c r="H362">
        <f t="shared" si="15"/>
        <v>2022</v>
      </c>
      <c r="I362" t="str">
        <f t="shared" si="16"/>
        <v>October</v>
      </c>
      <c r="J362" t="str">
        <f t="shared" si="17"/>
        <v>Q4</v>
      </c>
      <c r="K362" t="str">
        <f>TEXT(checking_account_main[[#This Row],[Date]],"mmm-yyyy")</f>
        <v>Oct-2022</v>
      </c>
      <c r="L362">
        <f>_xlfn.XLOOKUP(checking_account_main[[#This Row],[Month_Year]],checking_account_main[Month_Year],checking_account_main[Balance],"",0,-1)</f>
        <v>231018</v>
      </c>
    </row>
    <row r="363" spans="1:12" x14ac:dyDescent="0.3">
      <c r="A363" s="1">
        <v>44863</v>
      </c>
      <c r="B363" t="s">
        <v>379</v>
      </c>
      <c r="C363" t="s">
        <v>8</v>
      </c>
      <c r="D363" t="s">
        <v>9</v>
      </c>
      <c r="E363" t="s">
        <v>10</v>
      </c>
      <c r="F363" s="3">
        <v>774</v>
      </c>
      <c r="G363">
        <v>228972</v>
      </c>
      <c r="H363">
        <f t="shared" si="15"/>
        <v>2022</v>
      </c>
      <c r="I363" t="str">
        <f t="shared" si="16"/>
        <v>October</v>
      </c>
      <c r="J363" t="str">
        <f t="shared" si="17"/>
        <v>Q4</v>
      </c>
      <c r="K363" t="str">
        <f>TEXT(checking_account_main[[#This Row],[Date]],"mmm-yyyy")</f>
        <v>Oct-2022</v>
      </c>
      <c r="L363">
        <f>_xlfn.XLOOKUP(checking_account_main[[#This Row],[Month_Year]],checking_account_main[Month_Year],checking_account_main[Balance],"",0,-1)</f>
        <v>231018</v>
      </c>
    </row>
    <row r="364" spans="1:12" x14ac:dyDescent="0.3">
      <c r="A364" s="1">
        <v>44864</v>
      </c>
      <c r="B364" t="s">
        <v>380</v>
      </c>
      <c r="C364" t="s">
        <v>8</v>
      </c>
      <c r="D364" t="s">
        <v>9</v>
      </c>
      <c r="E364" t="s">
        <v>10</v>
      </c>
      <c r="F364" s="3">
        <v>1121</v>
      </c>
      <c r="G364">
        <v>230093</v>
      </c>
      <c r="H364">
        <f t="shared" si="15"/>
        <v>2022</v>
      </c>
      <c r="I364" t="str">
        <f t="shared" si="16"/>
        <v>October</v>
      </c>
      <c r="J364" t="str">
        <f t="shared" si="17"/>
        <v>Q4</v>
      </c>
      <c r="K364" t="str">
        <f>TEXT(checking_account_main[[#This Row],[Date]],"mmm-yyyy")</f>
        <v>Oct-2022</v>
      </c>
      <c r="L364">
        <f>_xlfn.XLOOKUP(checking_account_main[[#This Row],[Month_Year]],checking_account_main[Month_Year],checking_account_main[Balance],"",0,-1)</f>
        <v>231018</v>
      </c>
    </row>
    <row r="365" spans="1:12" x14ac:dyDescent="0.3">
      <c r="A365" s="1">
        <v>44865</v>
      </c>
      <c r="B365" t="s">
        <v>381</v>
      </c>
      <c r="C365" t="s">
        <v>8</v>
      </c>
      <c r="D365" t="s">
        <v>9</v>
      </c>
      <c r="E365" t="s">
        <v>10</v>
      </c>
      <c r="F365" s="3">
        <v>925</v>
      </c>
      <c r="G365">
        <v>231018</v>
      </c>
      <c r="H365">
        <f t="shared" si="15"/>
        <v>2022</v>
      </c>
      <c r="I365" t="str">
        <f t="shared" si="16"/>
        <v>October</v>
      </c>
      <c r="J365" t="str">
        <f t="shared" si="17"/>
        <v>Q4</v>
      </c>
      <c r="K365" t="str">
        <f>TEXT(checking_account_main[[#This Row],[Date]],"mmm-yyyy")</f>
        <v>Oct-2022</v>
      </c>
      <c r="L365">
        <f>_xlfn.XLOOKUP(checking_account_main[[#This Row],[Month_Year]],checking_account_main[Month_Year],checking_account_main[Balance],"",0,-1)</f>
        <v>231018</v>
      </c>
    </row>
    <row r="366" spans="1:12" x14ac:dyDescent="0.3">
      <c r="A366" s="1">
        <v>44866</v>
      </c>
      <c r="B366" t="s">
        <v>382</v>
      </c>
      <c r="C366" t="s">
        <v>8</v>
      </c>
      <c r="D366" t="s">
        <v>9</v>
      </c>
      <c r="E366" t="s">
        <v>10</v>
      </c>
      <c r="F366" s="3">
        <v>797</v>
      </c>
      <c r="G366">
        <v>231815</v>
      </c>
      <c r="H366">
        <f t="shared" si="15"/>
        <v>2022</v>
      </c>
      <c r="I366" t="str">
        <f t="shared" si="16"/>
        <v>November</v>
      </c>
      <c r="J366" t="str">
        <f t="shared" si="17"/>
        <v>Q4</v>
      </c>
      <c r="K366" t="str">
        <f>TEXT(checking_account_main[[#This Row],[Date]],"mmm-yyyy")</f>
        <v>Nov-2022</v>
      </c>
      <c r="L366">
        <f>_xlfn.XLOOKUP(checking_account_main[[#This Row],[Month_Year]],checking_account_main[Month_Year],checking_account_main[Balance],"",0,-1)</f>
        <v>257040</v>
      </c>
    </row>
    <row r="367" spans="1:12" x14ac:dyDescent="0.3">
      <c r="A367" s="1">
        <v>44867</v>
      </c>
      <c r="B367" t="s">
        <v>383</v>
      </c>
      <c r="C367" t="s">
        <v>8</v>
      </c>
      <c r="D367" t="s">
        <v>9</v>
      </c>
      <c r="E367" t="s">
        <v>10</v>
      </c>
      <c r="F367" s="3">
        <v>1034</v>
      </c>
      <c r="G367">
        <v>232849</v>
      </c>
      <c r="H367">
        <f t="shared" si="15"/>
        <v>2022</v>
      </c>
      <c r="I367" t="str">
        <f t="shared" si="16"/>
        <v>November</v>
      </c>
      <c r="J367" t="str">
        <f t="shared" si="17"/>
        <v>Q4</v>
      </c>
      <c r="K367" t="str">
        <f>TEXT(checking_account_main[[#This Row],[Date]],"mmm-yyyy")</f>
        <v>Nov-2022</v>
      </c>
      <c r="L367">
        <f>_xlfn.XLOOKUP(checking_account_main[[#This Row],[Month_Year]],checking_account_main[Month_Year],checking_account_main[Balance],"",0,-1)</f>
        <v>257040</v>
      </c>
    </row>
    <row r="368" spans="1:12" x14ac:dyDescent="0.3">
      <c r="A368" s="1">
        <v>44868</v>
      </c>
      <c r="B368" t="s">
        <v>384</v>
      </c>
      <c r="C368" t="s">
        <v>8</v>
      </c>
      <c r="D368" t="s">
        <v>9</v>
      </c>
      <c r="E368" t="s">
        <v>10</v>
      </c>
      <c r="F368" s="3">
        <v>1146</v>
      </c>
      <c r="G368">
        <v>233995</v>
      </c>
      <c r="H368">
        <f t="shared" si="15"/>
        <v>2022</v>
      </c>
      <c r="I368" t="str">
        <f t="shared" si="16"/>
        <v>November</v>
      </c>
      <c r="J368" t="str">
        <f t="shared" si="17"/>
        <v>Q4</v>
      </c>
      <c r="K368" t="str">
        <f>TEXT(checking_account_main[[#This Row],[Date]],"mmm-yyyy")</f>
        <v>Nov-2022</v>
      </c>
      <c r="L368">
        <f>_xlfn.XLOOKUP(checking_account_main[[#This Row],[Month_Year]],checking_account_main[Month_Year],checking_account_main[Balance],"",0,-1)</f>
        <v>257040</v>
      </c>
    </row>
    <row r="369" spans="1:12" x14ac:dyDescent="0.3">
      <c r="A369" s="1">
        <v>44869</v>
      </c>
      <c r="B369" t="s">
        <v>385</v>
      </c>
      <c r="C369" t="s">
        <v>8</v>
      </c>
      <c r="D369" t="s">
        <v>9</v>
      </c>
      <c r="E369" t="s">
        <v>10</v>
      </c>
      <c r="F369" s="3">
        <v>948</v>
      </c>
      <c r="G369">
        <v>234943</v>
      </c>
      <c r="H369">
        <f t="shared" si="15"/>
        <v>2022</v>
      </c>
      <c r="I369" t="str">
        <f t="shared" si="16"/>
        <v>November</v>
      </c>
      <c r="J369" t="str">
        <f t="shared" si="17"/>
        <v>Q4</v>
      </c>
      <c r="K369" t="str">
        <f>TEXT(checking_account_main[[#This Row],[Date]],"mmm-yyyy")</f>
        <v>Nov-2022</v>
      </c>
      <c r="L369">
        <f>_xlfn.XLOOKUP(checking_account_main[[#This Row],[Month_Year]],checking_account_main[Month_Year],checking_account_main[Balance],"",0,-1)</f>
        <v>257040</v>
      </c>
    </row>
    <row r="370" spans="1:12" x14ac:dyDescent="0.3">
      <c r="A370" s="1">
        <v>44870</v>
      </c>
      <c r="B370" t="s">
        <v>386</v>
      </c>
      <c r="C370" t="s">
        <v>8</v>
      </c>
      <c r="D370" t="s">
        <v>9</v>
      </c>
      <c r="E370" t="s">
        <v>10</v>
      </c>
      <c r="F370" s="3">
        <v>1171</v>
      </c>
      <c r="G370">
        <v>236114</v>
      </c>
      <c r="H370">
        <f t="shared" si="15"/>
        <v>2022</v>
      </c>
      <c r="I370" t="str">
        <f t="shared" si="16"/>
        <v>November</v>
      </c>
      <c r="J370" t="str">
        <f t="shared" si="17"/>
        <v>Q4</v>
      </c>
      <c r="K370" t="str">
        <f>TEXT(checking_account_main[[#This Row],[Date]],"mmm-yyyy")</f>
        <v>Nov-2022</v>
      </c>
      <c r="L370">
        <f>_xlfn.XLOOKUP(checking_account_main[[#This Row],[Month_Year]],checking_account_main[Month_Year],checking_account_main[Balance],"",0,-1)</f>
        <v>257040</v>
      </c>
    </row>
    <row r="371" spans="1:12" x14ac:dyDescent="0.3">
      <c r="A371" s="1">
        <v>44871</v>
      </c>
      <c r="B371" t="s">
        <v>387</v>
      </c>
      <c r="C371" t="s">
        <v>8</v>
      </c>
      <c r="D371" t="s">
        <v>9</v>
      </c>
      <c r="E371" t="s">
        <v>10</v>
      </c>
      <c r="F371" s="3">
        <v>729</v>
      </c>
      <c r="G371">
        <v>236843</v>
      </c>
      <c r="H371">
        <f t="shared" si="15"/>
        <v>2022</v>
      </c>
      <c r="I371" t="str">
        <f t="shared" si="16"/>
        <v>November</v>
      </c>
      <c r="J371" t="str">
        <f t="shared" si="17"/>
        <v>Q4</v>
      </c>
      <c r="K371" t="str">
        <f>TEXT(checking_account_main[[#This Row],[Date]],"mmm-yyyy")</f>
        <v>Nov-2022</v>
      </c>
      <c r="L371">
        <f>_xlfn.XLOOKUP(checking_account_main[[#This Row],[Month_Year]],checking_account_main[Month_Year],checking_account_main[Balance],"",0,-1)</f>
        <v>257040</v>
      </c>
    </row>
    <row r="372" spans="1:12" x14ac:dyDescent="0.3">
      <c r="A372" s="1">
        <v>44872</v>
      </c>
      <c r="B372" t="s">
        <v>388</v>
      </c>
      <c r="C372" t="s">
        <v>8</v>
      </c>
      <c r="D372" t="s">
        <v>9</v>
      </c>
      <c r="E372" t="s">
        <v>10</v>
      </c>
      <c r="F372" s="3">
        <v>750</v>
      </c>
      <c r="G372">
        <v>237593</v>
      </c>
      <c r="H372">
        <f t="shared" si="15"/>
        <v>2022</v>
      </c>
      <c r="I372" t="str">
        <f t="shared" si="16"/>
        <v>November</v>
      </c>
      <c r="J372" t="str">
        <f t="shared" si="17"/>
        <v>Q4</v>
      </c>
      <c r="K372" t="str">
        <f>TEXT(checking_account_main[[#This Row],[Date]],"mmm-yyyy")</f>
        <v>Nov-2022</v>
      </c>
      <c r="L372">
        <f>_xlfn.XLOOKUP(checking_account_main[[#This Row],[Month_Year]],checking_account_main[Month_Year],checking_account_main[Balance],"",0,-1)</f>
        <v>257040</v>
      </c>
    </row>
    <row r="373" spans="1:12" x14ac:dyDescent="0.3">
      <c r="A373" s="1">
        <v>44873</v>
      </c>
      <c r="B373" t="s">
        <v>389</v>
      </c>
      <c r="C373" t="s">
        <v>8</v>
      </c>
      <c r="D373" t="s">
        <v>9</v>
      </c>
      <c r="E373" t="s">
        <v>10</v>
      </c>
      <c r="F373" s="3">
        <v>984</v>
      </c>
      <c r="G373">
        <v>238577</v>
      </c>
      <c r="H373">
        <f t="shared" si="15"/>
        <v>2022</v>
      </c>
      <c r="I373" t="str">
        <f t="shared" si="16"/>
        <v>November</v>
      </c>
      <c r="J373" t="str">
        <f t="shared" si="17"/>
        <v>Q4</v>
      </c>
      <c r="K373" t="str">
        <f>TEXT(checking_account_main[[#This Row],[Date]],"mmm-yyyy")</f>
        <v>Nov-2022</v>
      </c>
      <c r="L373">
        <f>_xlfn.XLOOKUP(checking_account_main[[#This Row],[Month_Year]],checking_account_main[Month_Year],checking_account_main[Balance],"",0,-1)</f>
        <v>257040</v>
      </c>
    </row>
    <row r="374" spans="1:12" x14ac:dyDescent="0.3">
      <c r="A374" s="1">
        <v>44873</v>
      </c>
      <c r="B374" t="s">
        <v>390</v>
      </c>
      <c r="C374" t="s">
        <v>28</v>
      </c>
      <c r="D374" t="s">
        <v>29</v>
      </c>
      <c r="E374" t="s">
        <v>17</v>
      </c>
      <c r="F374" s="3">
        <v>283</v>
      </c>
      <c r="G374">
        <v>238294</v>
      </c>
      <c r="H374">
        <f t="shared" si="15"/>
        <v>2022</v>
      </c>
      <c r="I374" t="str">
        <f t="shared" si="16"/>
        <v>November</v>
      </c>
      <c r="J374" t="str">
        <f t="shared" si="17"/>
        <v>Q4</v>
      </c>
      <c r="K374" t="str">
        <f>TEXT(checking_account_main[[#This Row],[Date]],"mmm-yyyy")</f>
        <v>Nov-2022</v>
      </c>
      <c r="L374">
        <f>_xlfn.XLOOKUP(checking_account_main[[#This Row],[Month_Year]],checking_account_main[Month_Year],checking_account_main[Balance],"",0,-1)</f>
        <v>257040</v>
      </c>
    </row>
    <row r="375" spans="1:12" x14ac:dyDescent="0.3">
      <c r="A375" s="1">
        <v>44874</v>
      </c>
      <c r="B375" t="s">
        <v>391</v>
      </c>
      <c r="C375" t="s">
        <v>8</v>
      </c>
      <c r="D375" t="s">
        <v>9</v>
      </c>
      <c r="E375" t="s">
        <v>10</v>
      </c>
      <c r="F375" s="3">
        <v>1029</v>
      </c>
      <c r="G375">
        <v>239323</v>
      </c>
      <c r="H375">
        <f t="shared" si="15"/>
        <v>2022</v>
      </c>
      <c r="I375" t="str">
        <f t="shared" si="16"/>
        <v>November</v>
      </c>
      <c r="J375" t="str">
        <f t="shared" si="17"/>
        <v>Q4</v>
      </c>
      <c r="K375" t="str">
        <f>TEXT(checking_account_main[[#This Row],[Date]],"mmm-yyyy")</f>
        <v>Nov-2022</v>
      </c>
      <c r="L375">
        <f>_xlfn.XLOOKUP(checking_account_main[[#This Row],[Month_Year]],checking_account_main[Month_Year],checking_account_main[Balance],"",0,-1)</f>
        <v>257040</v>
      </c>
    </row>
    <row r="376" spans="1:12" x14ac:dyDescent="0.3">
      <c r="A376" s="1">
        <v>44875</v>
      </c>
      <c r="B376" t="s">
        <v>392</v>
      </c>
      <c r="C376" t="s">
        <v>8</v>
      </c>
      <c r="D376" t="s">
        <v>9</v>
      </c>
      <c r="E376" t="s">
        <v>10</v>
      </c>
      <c r="F376" s="3">
        <v>1039</v>
      </c>
      <c r="G376">
        <v>240362</v>
      </c>
      <c r="H376">
        <f t="shared" si="15"/>
        <v>2022</v>
      </c>
      <c r="I376" t="str">
        <f t="shared" si="16"/>
        <v>November</v>
      </c>
      <c r="J376" t="str">
        <f t="shared" si="17"/>
        <v>Q4</v>
      </c>
      <c r="K376" t="str">
        <f>TEXT(checking_account_main[[#This Row],[Date]],"mmm-yyyy")</f>
        <v>Nov-2022</v>
      </c>
      <c r="L376">
        <f>_xlfn.XLOOKUP(checking_account_main[[#This Row],[Month_Year]],checking_account_main[Month_Year],checking_account_main[Balance],"",0,-1)</f>
        <v>257040</v>
      </c>
    </row>
    <row r="377" spans="1:12" x14ac:dyDescent="0.3">
      <c r="A377" s="1">
        <v>44876</v>
      </c>
      <c r="B377" t="s">
        <v>393</v>
      </c>
      <c r="C377" t="s">
        <v>8</v>
      </c>
      <c r="D377" t="s">
        <v>9</v>
      </c>
      <c r="E377" t="s">
        <v>10</v>
      </c>
      <c r="F377" s="3">
        <v>733</v>
      </c>
      <c r="G377">
        <v>241095</v>
      </c>
      <c r="H377">
        <f t="shared" si="15"/>
        <v>2022</v>
      </c>
      <c r="I377" t="str">
        <f t="shared" si="16"/>
        <v>November</v>
      </c>
      <c r="J377" t="str">
        <f t="shared" si="17"/>
        <v>Q4</v>
      </c>
      <c r="K377" t="str">
        <f>TEXT(checking_account_main[[#This Row],[Date]],"mmm-yyyy")</f>
        <v>Nov-2022</v>
      </c>
      <c r="L377">
        <f>_xlfn.XLOOKUP(checking_account_main[[#This Row],[Month_Year]],checking_account_main[Month_Year],checking_account_main[Balance],"",0,-1)</f>
        <v>257040</v>
      </c>
    </row>
    <row r="378" spans="1:12" x14ac:dyDescent="0.3">
      <c r="A378" s="1">
        <v>44877</v>
      </c>
      <c r="B378" t="s">
        <v>394</v>
      </c>
      <c r="C378" t="s">
        <v>8</v>
      </c>
      <c r="D378" t="s">
        <v>9</v>
      </c>
      <c r="E378" t="s">
        <v>10</v>
      </c>
      <c r="F378" s="3">
        <v>1149</v>
      </c>
      <c r="G378">
        <v>242244</v>
      </c>
      <c r="H378">
        <f t="shared" si="15"/>
        <v>2022</v>
      </c>
      <c r="I378" t="str">
        <f t="shared" si="16"/>
        <v>November</v>
      </c>
      <c r="J378" t="str">
        <f t="shared" si="17"/>
        <v>Q4</v>
      </c>
      <c r="K378" t="str">
        <f>TEXT(checking_account_main[[#This Row],[Date]],"mmm-yyyy")</f>
        <v>Nov-2022</v>
      </c>
      <c r="L378">
        <f>_xlfn.XLOOKUP(checking_account_main[[#This Row],[Month_Year]],checking_account_main[Month_Year],checking_account_main[Balance],"",0,-1)</f>
        <v>257040</v>
      </c>
    </row>
    <row r="379" spans="1:12" x14ac:dyDescent="0.3">
      <c r="A379" s="1">
        <v>44878</v>
      </c>
      <c r="B379" t="s">
        <v>395</v>
      </c>
      <c r="C379" t="s">
        <v>8</v>
      </c>
      <c r="D379" t="s">
        <v>9</v>
      </c>
      <c r="E379" t="s">
        <v>10</v>
      </c>
      <c r="F379" s="3">
        <v>934</v>
      </c>
      <c r="G379">
        <v>243178</v>
      </c>
      <c r="H379">
        <f t="shared" si="15"/>
        <v>2022</v>
      </c>
      <c r="I379" t="str">
        <f t="shared" si="16"/>
        <v>November</v>
      </c>
      <c r="J379" t="str">
        <f t="shared" si="17"/>
        <v>Q4</v>
      </c>
      <c r="K379" t="str">
        <f>TEXT(checking_account_main[[#This Row],[Date]],"mmm-yyyy")</f>
        <v>Nov-2022</v>
      </c>
      <c r="L379">
        <f>_xlfn.XLOOKUP(checking_account_main[[#This Row],[Month_Year]],checking_account_main[Month_Year],checking_account_main[Balance],"",0,-1)</f>
        <v>257040</v>
      </c>
    </row>
    <row r="380" spans="1:12" x14ac:dyDescent="0.3">
      <c r="A380" s="1">
        <v>44879</v>
      </c>
      <c r="B380" t="s">
        <v>396</v>
      </c>
      <c r="C380" t="s">
        <v>8</v>
      </c>
      <c r="D380" t="s">
        <v>9</v>
      </c>
      <c r="E380" t="s">
        <v>10</v>
      </c>
      <c r="F380" s="3">
        <v>1158</v>
      </c>
      <c r="G380">
        <v>244336</v>
      </c>
      <c r="H380">
        <f t="shared" si="15"/>
        <v>2022</v>
      </c>
      <c r="I380" t="str">
        <f t="shared" si="16"/>
        <v>November</v>
      </c>
      <c r="J380" t="str">
        <f t="shared" si="17"/>
        <v>Q4</v>
      </c>
      <c r="K380" t="str">
        <f>TEXT(checking_account_main[[#This Row],[Date]],"mmm-yyyy")</f>
        <v>Nov-2022</v>
      </c>
      <c r="L380">
        <f>_xlfn.XLOOKUP(checking_account_main[[#This Row],[Month_Year]],checking_account_main[Month_Year],checking_account_main[Balance],"",0,-1)</f>
        <v>257040</v>
      </c>
    </row>
    <row r="381" spans="1:12" x14ac:dyDescent="0.3">
      <c r="A381" s="1">
        <v>44879</v>
      </c>
      <c r="B381" t="s">
        <v>397</v>
      </c>
      <c r="C381" t="s">
        <v>15</v>
      </c>
      <c r="D381" t="s">
        <v>16</v>
      </c>
      <c r="E381" t="s">
        <v>17</v>
      </c>
      <c r="F381" s="3">
        <v>348</v>
      </c>
      <c r="G381">
        <v>243988</v>
      </c>
      <c r="H381">
        <f t="shared" si="15"/>
        <v>2022</v>
      </c>
      <c r="I381" t="str">
        <f t="shared" si="16"/>
        <v>November</v>
      </c>
      <c r="J381" t="str">
        <f t="shared" si="17"/>
        <v>Q4</v>
      </c>
      <c r="K381" t="str">
        <f>TEXT(checking_account_main[[#This Row],[Date]],"mmm-yyyy")</f>
        <v>Nov-2022</v>
      </c>
      <c r="L381">
        <f>_xlfn.XLOOKUP(checking_account_main[[#This Row],[Month_Year]],checking_account_main[Month_Year],checking_account_main[Balance],"",0,-1)</f>
        <v>257040</v>
      </c>
    </row>
    <row r="382" spans="1:12" x14ac:dyDescent="0.3">
      <c r="A382" s="1">
        <v>44880</v>
      </c>
      <c r="B382" t="s">
        <v>398</v>
      </c>
      <c r="C382" t="s">
        <v>8</v>
      </c>
      <c r="D382" t="s">
        <v>9</v>
      </c>
      <c r="E382" t="s">
        <v>10</v>
      </c>
      <c r="F382" s="3">
        <v>1073</v>
      </c>
      <c r="G382">
        <v>245061</v>
      </c>
      <c r="H382">
        <f t="shared" si="15"/>
        <v>2022</v>
      </c>
      <c r="I382" t="str">
        <f t="shared" si="16"/>
        <v>November</v>
      </c>
      <c r="J382" t="str">
        <f t="shared" si="17"/>
        <v>Q4</v>
      </c>
      <c r="K382" t="str">
        <f>TEXT(checking_account_main[[#This Row],[Date]],"mmm-yyyy")</f>
        <v>Nov-2022</v>
      </c>
      <c r="L382">
        <f>_xlfn.XLOOKUP(checking_account_main[[#This Row],[Month_Year]],checking_account_main[Month_Year],checking_account_main[Balance],"",0,-1)</f>
        <v>257040</v>
      </c>
    </row>
    <row r="383" spans="1:12" x14ac:dyDescent="0.3">
      <c r="A383" s="1">
        <v>44881</v>
      </c>
      <c r="B383" t="s">
        <v>399</v>
      </c>
      <c r="C383" t="s">
        <v>8</v>
      </c>
      <c r="D383" t="s">
        <v>9</v>
      </c>
      <c r="E383" t="s">
        <v>10</v>
      </c>
      <c r="F383" s="3">
        <v>1087</v>
      </c>
      <c r="G383">
        <v>246148</v>
      </c>
      <c r="H383">
        <f t="shared" si="15"/>
        <v>2022</v>
      </c>
      <c r="I383" t="str">
        <f t="shared" si="16"/>
        <v>November</v>
      </c>
      <c r="J383" t="str">
        <f t="shared" si="17"/>
        <v>Q4</v>
      </c>
      <c r="K383" t="str">
        <f>TEXT(checking_account_main[[#This Row],[Date]],"mmm-yyyy")</f>
        <v>Nov-2022</v>
      </c>
      <c r="L383">
        <f>_xlfn.XLOOKUP(checking_account_main[[#This Row],[Month_Year]],checking_account_main[Month_Year],checking_account_main[Balance],"",0,-1)</f>
        <v>257040</v>
      </c>
    </row>
    <row r="384" spans="1:12" x14ac:dyDescent="0.3">
      <c r="A384" s="1">
        <v>44881</v>
      </c>
      <c r="B384" t="s">
        <v>400</v>
      </c>
      <c r="C384" t="s">
        <v>28</v>
      </c>
      <c r="D384" t="s">
        <v>29</v>
      </c>
      <c r="E384" t="s">
        <v>17</v>
      </c>
      <c r="F384" s="3">
        <v>283</v>
      </c>
      <c r="G384">
        <v>245865</v>
      </c>
      <c r="H384">
        <f t="shared" si="15"/>
        <v>2022</v>
      </c>
      <c r="I384" t="str">
        <f t="shared" si="16"/>
        <v>November</v>
      </c>
      <c r="J384" t="str">
        <f t="shared" si="17"/>
        <v>Q4</v>
      </c>
      <c r="K384" t="str">
        <f>TEXT(checking_account_main[[#This Row],[Date]],"mmm-yyyy")</f>
        <v>Nov-2022</v>
      </c>
      <c r="L384">
        <f>_xlfn.XLOOKUP(checking_account_main[[#This Row],[Month_Year]],checking_account_main[Month_Year],checking_account_main[Balance],"",0,-1)</f>
        <v>257040</v>
      </c>
    </row>
    <row r="385" spans="1:12" x14ac:dyDescent="0.3">
      <c r="A385" s="1">
        <v>44882</v>
      </c>
      <c r="B385" t="s">
        <v>401</v>
      </c>
      <c r="C385" t="s">
        <v>8</v>
      </c>
      <c r="D385" t="s">
        <v>9</v>
      </c>
      <c r="E385" t="s">
        <v>10</v>
      </c>
      <c r="F385" s="3">
        <v>894</v>
      </c>
      <c r="G385">
        <v>246759</v>
      </c>
      <c r="H385">
        <f t="shared" si="15"/>
        <v>2022</v>
      </c>
      <c r="I385" t="str">
        <f t="shared" si="16"/>
        <v>November</v>
      </c>
      <c r="J385" t="str">
        <f t="shared" si="17"/>
        <v>Q4</v>
      </c>
      <c r="K385" t="str">
        <f>TEXT(checking_account_main[[#This Row],[Date]],"mmm-yyyy")</f>
        <v>Nov-2022</v>
      </c>
      <c r="L385">
        <f>_xlfn.XLOOKUP(checking_account_main[[#This Row],[Month_Year]],checking_account_main[Month_Year],checking_account_main[Balance],"",0,-1)</f>
        <v>257040</v>
      </c>
    </row>
    <row r="386" spans="1:12" x14ac:dyDescent="0.3">
      <c r="A386" s="1">
        <v>44883</v>
      </c>
      <c r="B386" t="s">
        <v>402</v>
      </c>
      <c r="C386" t="s">
        <v>8</v>
      </c>
      <c r="D386" t="s">
        <v>9</v>
      </c>
      <c r="E386" t="s">
        <v>10</v>
      </c>
      <c r="F386" s="3">
        <v>854</v>
      </c>
      <c r="G386">
        <v>247613</v>
      </c>
      <c r="H386">
        <f t="shared" ref="H386:H449" si="18">YEAR(A386)</f>
        <v>2022</v>
      </c>
      <c r="I386" t="str">
        <f t="shared" ref="I386:I449" si="19">TEXT(A386,"mmmm")</f>
        <v>November</v>
      </c>
      <c r="J386" t="str">
        <f t="shared" ref="J386:J449" si="20">"Q"&amp;ROUNDUP(MONTH(A386)/3,0)</f>
        <v>Q4</v>
      </c>
      <c r="K386" t="str">
        <f>TEXT(checking_account_main[[#This Row],[Date]],"mmm-yyyy")</f>
        <v>Nov-2022</v>
      </c>
      <c r="L386">
        <f>_xlfn.XLOOKUP(checking_account_main[[#This Row],[Month_Year]],checking_account_main[Month_Year],checking_account_main[Balance],"",0,-1)</f>
        <v>257040</v>
      </c>
    </row>
    <row r="387" spans="1:12" x14ac:dyDescent="0.3">
      <c r="A387" s="1">
        <v>44884</v>
      </c>
      <c r="B387" t="s">
        <v>403</v>
      </c>
      <c r="C387" t="s">
        <v>8</v>
      </c>
      <c r="D387" t="s">
        <v>9</v>
      </c>
      <c r="E387" t="s">
        <v>10</v>
      </c>
      <c r="F387" s="3">
        <v>1133</v>
      </c>
      <c r="G387">
        <v>248746</v>
      </c>
      <c r="H387">
        <f t="shared" si="18"/>
        <v>2022</v>
      </c>
      <c r="I387" t="str">
        <f t="shared" si="19"/>
        <v>November</v>
      </c>
      <c r="J387" t="str">
        <f t="shared" si="20"/>
        <v>Q4</v>
      </c>
      <c r="K387" t="str">
        <f>TEXT(checking_account_main[[#This Row],[Date]],"mmm-yyyy")</f>
        <v>Nov-2022</v>
      </c>
      <c r="L387">
        <f>_xlfn.XLOOKUP(checking_account_main[[#This Row],[Month_Year]],checking_account_main[Month_Year],checking_account_main[Balance],"",0,-1)</f>
        <v>257040</v>
      </c>
    </row>
    <row r="388" spans="1:12" x14ac:dyDescent="0.3">
      <c r="A388" s="1">
        <v>44885</v>
      </c>
      <c r="B388" t="s">
        <v>404</v>
      </c>
      <c r="C388" t="s">
        <v>8</v>
      </c>
      <c r="D388" t="s">
        <v>9</v>
      </c>
      <c r="E388" t="s">
        <v>10</v>
      </c>
      <c r="F388" s="3">
        <v>750</v>
      </c>
      <c r="G388">
        <v>249496</v>
      </c>
      <c r="H388">
        <f t="shared" si="18"/>
        <v>2022</v>
      </c>
      <c r="I388" t="str">
        <f t="shared" si="19"/>
        <v>November</v>
      </c>
      <c r="J388" t="str">
        <f t="shared" si="20"/>
        <v>Q4</v>
      </c>
      <c r="K388" t="str">
        <f>TEXT(checking_account_main[[#This Row],[Date]],"mmm-yyyy")</f>
        <v>Nov-2022</v>
      </c>
      <c r="L388">
        <f>_xlfn.XLOOKUP(checking_account_main[[#This Row],[Month_Year]],checking_account_main[Month_Year],checking_account_main[Balance],"",0,-1)</f>
        <v>257040</v>
      </c>
    </row>
    <row r="389" spans="1:12" x14ac:dyDescent="0.3">
      <c r="A389" s="1">
        <v>44885</v>
      </c>
      <c r="B389" t="s">
        <v>405</v>
      </c>
      <c r="C389" t="s">
        <v>47</v>
      </c>
      <c r="D389" t="s">
        <v>29</v>
      </c>
      <c r="E389" t="s">
        <v>17</v>
      </c>
      <c r="F389" s="3">
        <v>104</v>
      </c>
      <c r="G389">
        <v>249392</v>
      </c>
      <c r="H389">
        <f t="shared" si="18"/>
        <v>2022</v>
      </c>
      <c r="I389" t="str">
        <f t="shared" si="19"/>
        <v>November</v>
      </c>
      <c r="J389" t="str">
        <f t="shared" si="20"/>
        <v>Q4</v>
      </c>
      <c r="K389" t="str">
        <f>TEXT(checking_account_main[[#This Row],[Date]],"mmm-yyyy")</f>
        <v>Nov-2022</v>
      </c>
      <c r="L389">
        <f>_xlfn.XLOOKUP(checking_account_main[[#This Row],[Month_Year]],checking_account_main[Month_Year],checking_account_main[Balance],"",0,-1)</f>
        <v>257040</v>
      </c>
    </row>
    <row r="390" spans="1:12" x14ac:dyDescent="0.3">
      <c r="A390" s="1">
        <v>44886</v>
      </c>
      <c r="B390" t="s">
        <v>406</v>
      </c>
      <c r="C390" t="s">
        <v>8</v>
      </c>
      <c r="D390" t="s">
        <v>9</v>
      </c>
      <c r="E390" t="s">
        <v>10</v>
      </c>
      <c r="F390" s="3">
        <v>791</v>
      </c>
      <c r="G390">
        <v>250183</v>
      </c>
      <c r="H390">
        <f t="shared" si="18"/>
        <v>2022</v>
      </c>
      <c r="I390" t="str">
        <f t="shared" si="19"/>
        <v>November</v>
      </c>
      <c r="J390" t="str">
        <f t="shared" si="20"/>
        <v>Q4</v>
      </c>
      <c r="K390" t="str">
        <f>TEXT(checking_account_main[[#This Row],[Date]],"mmm-yyyy")</f>
        <v>Nov-2022</v>
      </c>
      <c r="L390">
        <f>_xlfn.XLOOKUP(checking_account_main[[#This Row],[Month_Year]],checking_account_main[Month_Year],checking_account_main[Balance],"",0,-1)</f>
        <v>257040</v>
      </c>
    </row>
    <row r="391" spans="1:12" x14ac:dyDescent="0.3">
      <c r="A391" s="1">
        <v>44887</v>
      </c>
      <c r="B391" t="s">
        <v>407</v>
      </c>
      <c r="C391" t="s">
        <v>8</v>
      </c>
      <c r="D391" t="s">
        <v>9</v>
      </c>
      <c r="E391" t="s">
        <v>10</v>
      </c>
      <c r="F391" s="3">
        <v>721</v>
      </c>
      <c r="G391">
        <v>250904</v>
      </c>
      <c r="H391">
        <f t="shared" si="18"/>
        <v>2022</v>
      </c>
      <c r="I391" t="str">
        <f t="shared" si="19"/>
        <v>November</v>
      </c>
      <c r="J391" t="str">
        <f t="shared" si="20"/>
        <v>Q4</v>
      </c>
      <c r="K391" t="str">
        <f>TEXT(checking_account_main[[#This Row],[Date]],"mmm-yyyy")</f>
        <v>Nov-2022</v>
      </c>
      <c r="L391">
        <f>_xlfn.XLOOKUP(checking_account_main[[#This Row],[Month_Year]],checking_account_main[Month_Year],checking_account_main[Balance],"",0,-1)</f>
        <v>257040</v>
      </c>
    </row>
    <row r="392" spans="1:12" x14ac:dyDescent="0.3">
      <c r="A392" s="1">
        <v>44887</v>
      </c>
      <c r="B392" t="s">
        <v>408</v>
      </c>
      <c r="C392" t="s">
        <v>74</v>
      </c>
      <c r="D392" t="s">
        <v>16</v>
      </c>
      <c r="E392" t="s">
        <v>17</v>
      </c>
      <c r="F392" s="3">
        <v>100</v>
      </c>
      <c r="G392">
        <v>250804</v>
      </c>
      <c r="H392">
        <f t="shared" si="18"/>
        <v>2022</v>
      </c>
      <c r="I392" t="str">
        <f t="shared" si="19"/>
        <v>November</v>
      </c>
      <c r="J392" t="str">
        <f t="shared" si="20"/>
        <v>Q4</v>
      </c>
      <c r="K392" t="str">
        <f>TEXT(checking_account_main[[#This Row],[Date]],"mmm-yyyy")</f>
        <v>Nov-2022</v>
      </c>
      <c r="L392">
        <f>_xlfn.XLOOKUP(checking_account_main[[#This Row],[Month_Year]],checking_account_main[Month_Year],checking_account_main[Balance],"",0,-1)</f>
        <v>257040</v>
      </c>
    </row>
    <row r="393" spans="1:12" x14ac:dyDescent="0.3">
      <c r="A393" s="1">
        <v>44888</v>
      </c>
      <c r="B393" t="s">
        <v>409</v>
      </c>
      <c r="C393" t="s">
        <v>8</v>
      </c>
      <c r="D393" t="s">
        <v>9</v>
      </c>
      <c r="E393" t="s">
        <v>10</v>
      </c>
      <c r="F393" s="3">
        <v>932</v>
      </c>
      <c r="G393">
        <v>251736</v>
      </c>
      <c r="H393">
        <f t="shared" si="18"/>
        <v>2022</v>
      </c>
      <c r="I393" t="str">
        <f t="shared" si="19"/>
        <v>November</v>
      </c>
      <c r="J393" t="str">
        <f t="shared" si="20"/>
        <v>Q4</v>
      </c>
      <c r="K393" t="str">
        <f>TEXT(checking_account_main[[#This Row],[Date]],"mmm-yyyy")</f>
        <v>Nov-2022</v>
      </c>
      <c r="L393">
        <f>_xlfn.XLOOKUP(checking_account_main[[#This Row],[Month_Year]],checking_account_main[Month_Year],checking_account_main[Balance],"",0,-1)</f>
        <v>257040</v>
      </c>
    </row>
    <row r="394" spans="1:12" x14ac:dyDescent="0.3">
      <c r="A394" s="1">
        <v>44889</v>
      </c>
      <c r="B394" t="s">
        <v>410</v>
      </c>
      <c r="C394" t="s">
        <v>8</v>
      </c>
      <c r="D394" t="s">
        <v>9</v>
      </c>
      <c r="E394" t="s">
        <v>10</v>
      </c>
      <c r="F394" s="3">
        <v>745</v>
      </c>
      <c r="G394">
        <v>252481</v>
      </c>
      <c r="H394">
        <f t="shared" si="18"/>
        <v>2022</v>
      </c>
      <c r="I394" t="str">
        <f t="shared" si="19"/>
        <v>November</v>
      </c>
      <c r="J394" t="str">
        <f t="shared" si="20"/>
        <v>Q4</v>
      </c>
      <c r="K394" t="str">
        <f>TEXT(checking_account_main[[#This Row],[Date]],"mmm-yyyy")</f>
        <v>Nov-2022</v>
      </c>
      <c r="L394">
        <f>_xlfn.XLOOKUP(checking_account_main[[#This Row],[Month_Year]],checking_account_main[Month_Year],checking_account_main[Balance],"",0,-1)</f>
        <v>257040</v>
      </c>
    </row>
    <row r="395" spans="1:12" x14ac:dyDescent="0.3">
      <c r="A395" s="1">
        <v>44890</v>
      </c>
      <c r="B395" t="s">
        <v>411</v>
      </c>
      <c r="C395" t="s">
        <v>8</v>
      </c>
      <c r="D395" t="s">
        <v>9</v>
      </c>
      <c r="E395" t="s">
        <v>10</v>
      </c>
      <c r="F395" s="3">
        <v>777</v>
      </c>
      <c r="G395">
        <v>253258</v>
      </c>
      <c r="H395">
        <f t="shared" si="18"/>
        <v>2022</v>
      </c>
      <c r="I395" t="str">
        <f t="shared" si="19"/>
        <v>November</v>
      </c>
      <c r="J395" t="str">
        <f t="shared" si="20"/>
        <v>Q4</v>
      </c>
      <c r="K395" t="str">
        <f>TEXT(checking_account_main[[#This Row],[Date]],"mmm-yyyy")</f>
        <v>Nov-2022</v>
      </c>
      <c r="L395">
        <f>_xlfn.XLOOKUP(checking_account_main[[#This Row],[Month_Year]],checking_account_main[Month_Year],checking_account_main[Balance],"",0,-1)</f>
        <v>257040</v>
      </c>
    </row>
    <row r="396" spans="1:12" x14ac:dyDescent="0.3">
      <c r="A396" s="1">
        <v>44891</v>
      </c>
      <c r="B396" t="s">
        <v>412</v>
      </c>
      <c r="C396" t="s">
        <v>8</v>
      </c>
      <c r="D396" t="s">
        <v>9</v>
      </c>
      <c r="E396" t="s">
        <v>10</v>
      </c>
      <c r="F396" s="3">
        <v>1110</v>
      </c>
      <c r="G396">
        <v>254368</v>
      </c>
      <c r="H396">
        <f t="shared" si="18"/>
        <v>2022</v>
      </c>
      <c r="I396" t="str">
        <f t="shared" si="19"/>
        <v>November</v>
      </c>
      <c r="J396" t="str">
        <f t="shared" si="20"/>
        <v>Q4</v>
      </c>
      <c r="K396" t="str">
        <f>TEXT(checking_account_main[[#This Row],[Date]],"mmm-yyyy")</f>
        <v>Nov-2022</v>
      </c>
      <c r="L396">
        <f>_xlfn.XLOOKUP(checking_account_main[[#This Row],[Month_Year]],checking_account_main[Month_Year],checking_account_main[Balance],"",0,-1)</f>
        <v>257040</v>
      </c>
    </row>
    <row r="397" spans="1:12" x14ac:dyDescent="0.3">
      <c r="A397" s="1">
        <v>44891</v>
      </c>
      <c r="B397" t="s">
        <v>413</v>
      </c>
      <c r="C397" t="s">
        <v>28</v>
      </c>
      <c r="D397" t="s">
        <v>29</v>
      </c>
      <c r="E397" t="s">
        <v>17</v>
      </c>
      <c r="F397" s="3">
        <v>348</v>
      </c>
      <c r="G397">
        <v>254020</v>
      </c>
      <c r="H397">
        <f t="shared" si="18"/>
        <v>2022</v>
      </c>
      <c r="I397" t="str">
        <f t="shared" si="19"/>
        <v>November</v>
      </c>
      <c r="J397" t="str">
        <f t="shared" si="20"/>
        <v>Q4</v>
      </c>
      <c r="K397" t="str">
        <f>TEXT(checking_account_main[[#This Row],[Date]],"mmm-yyyy")</f>
        <v>Nov-2022</v>
      </c>
      <c r="L397">
        <f>_xlfn.XLOOKUP(checking_account_main[[#This Row],[Month_Year]],checking_account_main[Month_Year],checking_account_main[Balance],"",0,-1)</f>
        <v>257040</v>
      </c>
    </row>
    <row r="398" spans="1:12" x14ac:dyDescent="0.3">
      <c r="A398" s="1">
        <v>44892</v>
      </c>
      <c r="B398" t="s">
        <v>414</v>
      </c>
      <c r="C398" t="s">
        <v>8</v>
      </c>
      <c r="D398" t="s">
        <v>9</v>
      </c>
      <c r="E398" t="s">
        <v>10</v>
      </c>
      <c r="F398" s="3">
        <v>913</v>
      </c>
      <c r="G398">
        <v>254933</v>
      </c>
      <c r="H398">
        <f t="shared" si="18"/>
        <v>2022</v>
      </c>
      <c r="I398" t="str">
        <f t="shared" si="19"/>
        <v>November</v>
      </c>
      <c r="J398" t="str">
        <f t="shared" si="20"/>
        <v>Q4</v>
      </c>
      <c r="K398" t="str">
        <f>TEXT(checking_account_main[[#This Row],[Date]],"mmm-yyyy")</f>
        <v>Nov-2022</v>
      </c>
      <c r="L398">
        <f>_xlfn.XLOOKUP(checking_account_main[[#This Row],[Month_Year]],checking_account_main[Month_Year],checking_account_main[Balance],"",0,-1)</f>
        <v>257040</v>
      </c>
    </row>
    <row r="399" spans="1:12" x14ac:dyDescent="0.3">
      <c r="A399" s="1">
        <v>44892</v>
      </c>
      <c r="B399" t="s">
        <v>415</v>
      </c>
      <c r="C399" t="s">
        <v>15</v>
      </c>
      <c r="D399" t="s">
        <v>16</v>
      </c>
      <c r="E399" t="s">
        <v>17</v>
      </c>
      <c r="F399" s="3">
        <v>449</v>
      </c>
      <c r="G399">
        <v>254484</v>
      </c>
      <c r="H399">
        <f t="shared" si="18"/>
        <v>2022</v>
      </c>
      <c r="I399" t="str">
        <f t="shared" si="19"/>
        <v>November</v>
      </c>
      <c r="J399" t="str">
        <f t="shared" si="20"/>
        <v>Q4</v>
      </c>
      <c r="K399" t="str">
        <f>TEXT(checking_account_main[[#This Row],[Date]],"mmm-yyyy")</f>
        <v>Nov-2022</v>
      </c>
      <c r="L399">
        <f>_xlfn.XLOOKUP(checking_account_main[[#This Row],[Month_Year]],checking_account_main[Month_Year],checking_account_main[Balance],"",0,-1)</f>
        <v>257040</v>
      </c>
    </row>
    <row r="400" spans="1:12" x14ac:dyDescent="0.3">
      <c r="A400" s="1">
        <v>44893</v>
      </c>
      <c r="B400" t="s">
        <v>416</v>
      </c>
      <c r="C400" t="s">
        <v>8</v>
      </c>
      <c r="D400" t="s">
        <v>9</v>
      </c>
      <c r="E400" t="s">
        <v>10</v>
      </c>
      <c r="F400" s="3">
        <v>1018</v>
      </c>
      <c r="G400">
        <v>255502</v>
      </c>
      <c r="H400">
        <f t="shared" si="18"/>
        <v>2022</v>
      </c>
      <c r="I400" t="str">
        <f t="shared" si="19"/>
        <v>November</v>
      </c>
      <c r="J400" t="str">
        <f t="shared" si="20"/>
        <v>Q4</v>
      </c>
      <c r="K400" t="str">
        <f>TEXT(checking_account_main[[#This Row],[Date]],"mmm-yyyy")</f>
        <v>Nov-2022</v>
      </c>
      <c r="L400">
        <f>_xlfn.XLOOKUP(checking_account_main[[#This Row],[Month_Year]],checking_account_main[Month_Year],checking_account_main[Balance],"",0,-1)</f>
        <v>257040</v>
      </c>
    </row>
    <row r="401" spans="1:12" x14ac:dyDescent="0.3">
      <c r="A401" s="1">
        <v>44894</v>
      </c>
      <c r="B401" t="s">
        <v>417</v>
      </c>
      <c r="C401" t="s">
        <v>8</v>
      </c>
      <c r="D401" t="s">
        <v>9</v>
      </c>
      <c r="E401" t="s">
        <v>10</v>
      </c>
      <c r="F401" s="3">
        <v>1036</v>
      </c>
      <c r="G401">
        <v>256538</v>
      </c>
      <c r="H401">
        <f t="shared" si="18"/>
        <v>2022</v>
      </c>
      <c r="I401" t="str">
        <f t="shared" si="19"/>
        <v>November</v>
      </c>
      <c r="J401" t="str">
        <f t="shared" si="20"/>
        <v>Q4</v>
      </c>
      <c r="K401" t="str">
        <f>TEXT(checking_account_main[[#This Row],[Date]],"mmm-yyyy")</f>
        <v>Nov-2022</v>
      </c>
      <c r="L401">
        <f>_xlfn.XLOOKUP(checking_account_main[[#This Row],[Month_Year]],checking_account_main[Month_Year],checking_account_main[Balance],"",0,-1)</f>
        <v>257040</v>
      </c>
    </row>
    <row r="402" spans="1:12" x14ac:dyDescent="0.3">
      <c r="A402" s="1">
        <v>44895</v>
      </c>
      <c r="B402" t="s">
        <v>418</v>
      </c>
      <c r="C402" t="s">
        <v>8</v>
      </c>
      <c r="D402" t="s">
        <v>9</v>
      </c>
      <c r="E402" t="s">
        <v>10</v>
      </c>
      <c r="F402" s="3">
        <v>956</v>
      </c>
      <c r="G402">
        <v>257494</v>
      </c>
      <c r="H402">
        <f t="shared" si="18"/>
        <v>2022</v>
      </c>
      <c r="I402" t="str">
        <f t="shared" si="19"/>
        <v>November</v>
      </c>
      <c r="J402" t="str">
        <f t="shared" si="20"/>
        <v>Q4</v>
      </c>
      <c r="K402" t="str">
        <f>TEXT(checking_account_main[[#This Row],[Date]],"mmm-yyyy")</f>
        <v>Nov-2022</v>
      </c>
      <c r="L402">
        <f>_xlfn.XLOOKUP(checking_account_main[[#This Row],[Month_Year]],checking_account_main[Month_Year],checking_account_main[Balance],"",0,-1)</f>
        <v>257040</v>
      </c>
    </row>
    <row r="403" spans="1:12" x14ac:dyDescent="0.3">
      <c r="A403" s="1">
        <v>44895</v>
      </c>
      <c r="B403" t="s">
        <v>419</v>
      </c>
      <c r="C403" t="s">
        <v>74</v>
      </c>
      <c r="D403" t="s">
        <v>16</v>
      </c>
      <c r="E403" t="s">
        <v>17</v>
      </c>
      <c r="F403" s="3">
        <v>454</v>
      </c>
      <c r="G403">
        <v>257040</v>
      </c>
      <c r="H403">
        <f t="shared" si="18"/>
        <v>2022</v>
      </c>
      <c r="I403" t="str">
        <f t="shared" si="19"/>
        <v>November</v>
      </c>
      <c r="J403" t="str">
        <f t="shared" si="20"/>
        <v>Q4</v>
      </c>
      <c r="K403" t="str">
        <f>TEXT(checking_account_main[[#This Row],[Date]],"mmm-yyyy")</f>
        <v>Nov-2022</v>
      </c>
      <c r="L403">
        <f>_xlfn.XLOOKUP(checking_account_main[[#This Row],[Month_Year]],checking_account_main[Month_Year],checking_account_main[Balance],"",0,-1)</f>
        <v>257040</v>
      </c>
    </row>
    <row r="404" spans="1:12" x14ac:dyDescent="0.3">
      <c r="A404" s="1">
        <v>44896</v>
      </c>
      <c r="B404" t="s">
        <v>420</v>
      </c>
      <c r="C404" t="s">
        <v>8</v>
      </c>
      <c r="D404" t="s">
        <v>9</v>
      </c>
      <c r="E404" t="s">
        <v>10</v>
      </c>
      <c r="F404" s="3">
        <v>879</v>
      </c>
      <c r="G404">
        <v>257919</v>
      </c>
      <c r="H404">
        <f t="shared" si="18"/>
        <v>2022</v>
      </c>
      <c r="I404" t="str">
        <f t="shared" si="19"/>
        <v>December</v>
      </c>
      <c r="J404" t="str">
        <f t="shared" si="20"/>
        <v>Q4</v>
      </c>
      <c r="K404" t="str">
        <f>TEXT(checking_account_main[[#This Row],[Date]],"mmm-yyyy")</f>
        <v>Dec-2022</v>
      </c>
      <c r="L404">
        <f>_xlfn.XLOOKUP(checking_account_main[[#This Row],[Month_Year]],checking_account_main[Month_Year],checking_account_main[Balance],"",0,-1)</f>
        <v>283523</v>
      </c>
    </row>
    <row r="405" spans="1:12" x14ac:dyDescent="0.3">
      <c r="A405" s="1">
        <v>44897</v>
      </c>
      <c r="B405" t="s">
        <v>421</v>
      </c>
      <c r="C405" t="s">
        <v>8</v>
      </c>
      <c r="D405" t="s">
        <v>9</v>
      </c>
      <c r="E405" t="s">
        <v>10</v>
      </c>
      <c r="F405" s="3">
        <v>826</v>
      </c>
      <c r="G405">
        <v>258745</v>
      </c>
      <c r="H405">
        <f t="shared" si="18"/>
        <v>2022</v>
      </c>
      <c r="I405" t="str">
        <f t="shared" si="19"/>
        <v>December</v>
      </c>
      <c r="J405" t="str">
        <f t="shared" si="20"/>
        <v>Q4</v>
      </c>
      <c r="K405" t="str">
        <f>TEXT(checking_account_main[[#This Row],[Date]],"mmm-yyyy")</f>
        <v>Dec-2022</v>
      </c>
      <c r="L405">
        <f>_xlfn.XLOOKUP(checking_account_main[[#This Row],[Month_Year]],checking_account_main[Month_Year],checking_account_main[Balance],"",0,-1)</f>
        <v>283523</v>
      </c>
    </row>
    <row r="406" spans="1:12" x14ac:dyDescent="0.3">
      <c r="A406" s="1">
        <v>44898</v>
      </c>
      <c r="B406" t="s">
        <v>422</v>
      </c>
      <c r="C406" t="s">
        <v>8</v>
      </c>
      <c r="D406" t="s">
        <v>9</v>
      </c>
      <c r="E406" t="s">
        <v>10</v>
      </c>
      <c r="F406" s="3">
        <v>713</v>
      </c>
      <c r="G406">
        <v>259458</v>
      </c>
      <c r="H406">
        <f t="shared" si="18"/>
        <v>2022</v>
      </c>
      <c r="I406" t="str">
        <f t="shared" si="19"/>
        <v>December</v>
      </c>
      <c r="J406" t="str">
        <f t="shared" si="20"/>
        <v>Q4</v>
      </c>
      <c r="K406" t="str">
        <f>TEXT(checking_account_main[[#This Row],[Date]],"mmm-yyyy")</f>
        <v>Dec-2022</v>
      </c>
      <c r="L406">
        <f>_xlfn.XLOOKUP(checking_account_main[[#This Row],[Month_Year]],checking_account_main[Month_Year],checking_account_main[Balance],"",0,-1)</f>
        <v>283523</v>
      </c>
    </row>
    <row r="407" spans="1:12" x14ac:dyDescent="0.3">
      <c r="A407" s="1">
        <v>44899</v>
      </c>
      <c r="B407" t="s">
        <v>423</v>
      </c>
      <c r="C407" t="s">
        <v>8</v>
      </c>
      <c r="D407" t="s">
        <v>9</v>
      </c>
      <c r="E407" t="s">
        <v>10</v>
      </c>
      <c r="F407" s="3">
        <v>1170</v>
      </c>
      <c r="G407">
        <v>260628</v>
      </c>
      <c r="H407">
        <f t="shared" si="18"/>
        <v>2022</v>
      </c>
      <c r="I407" t="str">
        <f t="shared" si="19"/>
        <v>December</v>
      </c>
      <c r="J407" t="str">
        <f t="shared" si="20"/>
        <v>Q4</v>
      </c>
      <c r="K407" t="str">
        <f>TEXT(checking_account_main[[#This Row],[Date]],"mmm-yyyy")</f>
        <v>Dec-2022</v>
      </c>
      <c r="L407">
        <f>_xlfn.XLOOKUP(checking_account_main[[#This Row],[Month_Year]],checking_account_main[Month_Year],checking_account_main[Balance],"",0,-1)</f>
        <v>283523</v>
      </c>
    </row>
    <row r="408" spans="1:12" x14ac:dyDescent="0.3">
      <c r="A408" s="1">
        <v>44900</v>
      </c>
      <c r="B408" t="s">
        <v>424</v>
      </c>
      <c r="C408" t="s">
        <v>8</v>
      </c>
      <c r="D408" t="s">
        <v>9</v>
      </c>
      <c r="E408" t="s">
        <v>10</v>
      </c>
      <c r="F408" s="3">
        <v>1085</v>
      </c>
      <c r="G408">
        <v>261713</v>
      </c>
      <c r="H408">
        <f t="shared" si="18"/>
        <v>2022</v>
      </c>
      <c r="I408" t="str">
        <f t="shared" si="19"/>
        <v>December</v>
      </c>
      <c r="J408" t="str">
        <f t="shared" si="20"/>
        <v>Q4</v>
      </c>
      <c r="K408" t="str">
        <f>TEXT(checking_account_main[[#This Row],[Date]],"mmm-yyyy")</f>
        <v>Dec-2022</v>
      </c>
      <c r="L408">
        <f>_xlfn.XLOOKUP(checking_account_main[[#This Row],[Month_Year]],checking_account_main[Month_Year],checking_account_main[Balance],"",0,-1)</f>
        <v>283523</v>
      </c>
    </row>
    <row r="409" spans="1:12" x14ac:dyDescent="0.3">
      <c r="A409" s="1">
        <v>44901</v>
      </c>
      <c r="B409" t="s">
        <v>425</v>
      </c>
      <c r="C409" t="s">
        <v>8</v>
      </c>
      <c r="D409" t="s">
        <v>9</v>
      </c>
      <c r="E409" t="s">
        <v>10</v>
      </c>
      <c r="F409" s="3">
        <v>713</v>
      </c>
      <c r="G409">
        <v>262426</v>
      </c>
      <c r="H409">
        <f t="shared" si="18"/>
        <v>2022</v>
      </c>
      <c r="I409" t="str">
        <f t="shared" si="19"/>
        <v>December</v>
      </c>
      <c r="J409" t="str">
        <f t="shared" si="20"/>
        <v>Q4</v>
      </c>
      <c r="K409" t="str">
        <f>TEXT(checking_account_main[[#This Row],[Date]],"mmm-yyyy")</f>
        <v>Dec-2022</v>
      </c>
      <c r="L409">
        <f>_xlfn.XLOOKUP(checking_account_main[[#This Row],[Month_Year]],checking_account_main[Month_Year],checking_account_main[Balance],"",0,-1)</f>
        <v>283523</v>
      </c>
    </row>
    <row r="410" spans="1:12" x14ac:dyDescent="0.3">
      <c r="A410" s="1">
        <v>44901</v>
      </c>
      <c r="B410" t="s">
        <v>426</v>
      </c>
      <c r="C410" t="s">
        <v>15</v>
      </c>
      <c r="D410" t="s">
        <v>16</v>
      </c>
      <c r="E410" t="s">
        <v>17</v>
      </c>
      <c r="F410" s="3">
        <v>470</v>
      </c>
      <c r="G410">
        <v>261956</v>
      </c>
      <c r="H410">
        <f t="shared" si="18"/>
        <v>2022</v>
      </c>
      <c r="I410" t="str">
        <f t="shared" si="19"/>
        <v>December</v>
      </c>
      <c r="J410" t="str">
        <f t="shared" si="20"/>
        <v>Q4</v>
      </c>
      <c r="K410" t="str">
        <f>TEXT(checking_account_main[[#This Row],[Date]],"mmm-yyyy")</f>
        <v>Dec-2022</v>
      </c>
      <c r="L410">
        <f>_xlfn.XLOOKUP(checking_account_main[[#This Row],[Month_Year]],checking_account_main[Month_Year],checking_account_main[Balance],"",0,-1)</f>
        <v>283523</v>
      </c>
    </row>
    <row r="411" spans="1:12" x14ac:dyDescent="0.3">
      <c r="A411" s="1">
        <v>44902</v>
      </c>
      <c r="B411" t="s">
        <v>427</v>
      </c>
      <c r="C411" t="s">
        <v>8</v>
      </c>
      <c r="D411" t="s">
        <v>9</v>
      </c>
      <c r="E411" t="s">
        <v>10</v>
      </c>
      <c r="F411" s="3">
        <v>810</v>
      </c>
      <c r="G411">
        <v>262766</v>
      </c>
      <c r="H411">
        <f t="shared" si="18"/>
        <v>2022</v>
      </c>
      <c r="I411" t="str">
        <f t="shared" si="19"/>
        <v>December</v>
      </c>
      <c r="J411" t="str">
        <f t="shared" si="20"/>
        <v>Q4</v>
      </c>
      <c r="K411" t="str">
        <f>TEXT(checking_account_main[[#This Row],[Date]],"mmm-yyyy")</f>
        <v>Dec-2022</v>
      </c>
      <c r="L411">
        <f>_xlfn.XLOOKUP(checking_account_main[[#This Row],[Month_Year]],checking_account_main[Month_Year],checking_account_main[Balance],"",0,-1)</f>
        <v>283523</v>
      </c>
    </row>
    <row r="412" spans="1:12" x14ac:dyDescent="0.3">
      <c r="A412" s="1">
        <v>44903</v>
      </c>
      <c r="B412" t="s">
        <v>428</v>
      </c>
      <c r="C412" t="s">
        <v>8</v>
      </c>
      <c r="D412" t="s">
        <v>9</v>
      </c>
      <c r="E412" t="s">
        <v>10</v>
      </c>
      <c r="F412" s="3">
        <v>1062</v>
      </c>
      <c r="G412">
        <v>263828</v>
      </c>
      <c r="H412">
        <f t="shared" si="18"/>
        <v>2022</v>
      </c>
      <c r="I412" t="str">
        <f t="shared" si="19"/>
        <v>December</v>
      </c>
      <c r="J412" t="str">
        <f t="shared" si="20"/>
        <v>Q4</v>
      </c>
      <c r="K412" t="str">
        <f>TEXT(checking_account_main[[#This Row],[Date]],"mmm-yyyy")</f>
        <v>Dec-2022</v>
      </c>
      <c r="L412">
        <f>_xlfn.XLOOKUP(checking_account_main[[#This Row],[Month_Year]],checking_account_main[Month_Year],checking_account_main[Balance],"",0,-1)</f>
        <v>283523</v>
      </c>
    </row>
    <row r="413" spans="1:12" x14ac:dyDescent="0.3">
      <c r="A413" s="1">
        <v>44904</v>
      </c>
      <c r="B413" t="s">
        <v>429</v>
      </c>
      <c r="C413" t="s">
        <v>8</v>
      </c>
      <c r="D413" t="s">
        <v>9</v>
      </c>
      <c r="E413" t="s">
        <v>10</v>
      </c>
      <c r="F413" s="3">
        <v>1192</v>
      </c>
      <c r="G413">
        <v>265020</v>
      </c>
      <c r="H413">
        <f t="shared" si="18"/>
        <v>2022</v>
      </c>
      <c r="I413" t="str">
        <f t="shared" si="19"/>
        <v>December</v>
      </c>
      <c r="J413" t="str">
        <f t="shared" si="20"/>
        <v>Q4</v>
      </c>
      <c r="K413" t="str">
        <f>TEXT(checking_account_main[[#This Row],[Date]],"mmm-yyyy")</f>
        <v>Dec-2022</v>
      </c>
      <c r="L413">
        <f>_xlfn.XLOOKUP(checking_account_main[[#This Row],[Month_Year]],checking_account_main[Month_Year],checking_account_main[Balance],"",0,-1)</f>
        <v>283523</v>
      </c>
    </row>
    <row r="414" spans="1:12" x14ac:dyDescent="0.3">
      <c r="A414" s="1">
        <v>44905</v>
      </c>
      <c r="B414" t="s">
        <v>430</v>
      </c>
      <c r="C414" t="s">
        <v>8</v>
      </c>
      <c r="D414" t="s">
        <v>9</v>
      </c>
      <c r="E414" t="s">
        <v>10</v>
      </c>
      <c r="F414" s="3">
        <v>993</v>
      </c>
      <c r="G414">
        <v>266013</v>
      </c>
      <c r="H414">
        <f t="shared" si="18"/>
        <v>2022</v>
      </c>
      <c r="I414" t="str">
        <f t="shared" si="19"/>
        <v>December</v>
      </c>
      <c r="J414" t="str">
        <f t="shared" si="20"/>
        <v>Q4</v>
      </c>
      <c r="K414" t="str">
        <f>TEXT(checking_account_main[[#This Row],[Date]],"mmm-yyyy")</f>
        <v>Dec-2022</v>
      </c>
      <c r="L414">
        <f>_xlfn.XLOOKUP(checking_account_main[[#This Row],[Month_Year]],checking_account_main[Month_Year],checking_account_main[Balance],"",0,-1)</f>
        <v>283523</v>
      </c>
    </row>
    <row r="415" spans="1:12" x14ac:dyDescent="0.3">
      <c r="A415" s="1">
        <v>44906</v>
      </c>
      <c r="B415" t="s">
        <v>431</v>
      </c>
      <c r="C415" t="s">
        <v>8</v>
      </c>
      <c r="D415" t="s">
        <v>9</v>
      </c>
      <c r="E415" t="s">
        <v>10</v>
      </c>
      <c r="F415" s="3">
        <v>714</v>
      </c>
      <c r="G415">
        <v>266727</v>
      </c>
      <c r="H415">
        <f t="shared" si="18"/>
        <v>2022</v>
      </c>
      <c r="I415" t="str">
        <f t="shared" si="19"/>
        <v>December</v>
      </c>
      <c r="J415" t="str">
        <f t="shared" si="20"/>
        <v>Q4</v>
      </c>
      <c r="K415" t="str">
        <f>TEXT(checking_account_main[[#This Row],[Date]],"mmm-yyyy")</f>
        <v>Dec-2022</v>
      </c>
      <c r="L415">
        <f>_xlfn.XLOOKUP(checking_account_main[[#This Row],[Month_Year]],checking_account_main[Month_Year],checking_account_main[Balance],"",0,-1)</f>
        <v>283523</v>
      </c>
    </row>
    <row r="416" spans="1:12" x14ac:dyDescent="0.3">
      <c r="A416" s="1">
        <v>44906</v>
      </c>
      <c r="B416" t="s">
        <v>432</v>
      </c>
      <c r="C416" t="s">
        <v>74</v>
      </c>
      <c r="D416" t="s">
        <v>16</v>
      </c>
      <c r="E416" t="s">
        <v>17</v>
      </c>
      <c r="F416" s="3">
        <v>218</v>
      </c>
      <c r="G416">
        <v>266509</v>
      </c>
      <c r="H416">
        <f t="shared" si="18"/>
        <v>2022</v>
      </c>
      <c r="I416" t="str">
        <f t="shared" si="19"/>
        <v>December</v>
      </c>
      <c r="J416" t="str">
        <f t="shared" si="20"/>
        <v>Q4</v>
      </c>
      <c r="K416" t="str">
        <f>TEXT(checking_account_main[[#This Row],[Date]],"mmm-yyyy")</f>
        <v>Dec-2022</v>
      </c>
      <c r="L416">
        <f>_xlfn.XLOOKUP(checking_account_main[[#This Row],[Month_Year]],checking_account_main[Month_Year],checking_account_main[Balance],"",0,-1)</f>
        <v>283523</v>
      </c>
    </row>
    <row r="417" spans="1:12" x14ac:dyDescent="0.3">
      <c r="A417" s="1">
        <v>44907</v>
      </c>
      <c r="B417" t="s">
        <v>433</v>
      </c>
      <c r="C417" t="s">
        <v>8</v>
      </c>
      <c r="D417" t="s">
        <v>9</v>
      </c>
      <c r="E417" t="s">
        <v>10</v>
      </c>
      <c r="F417" s="3">
        <v>727</v>
      </c>
      <c r="G417">
        <v>267236</v>
      </c>
      <c r="H417">
        <f t="shared" si="18"/>
        <v>2022</v>
      </c>
      <c r="I417" t="str">
        <f t="shared" si="19"/>
        <v>December</v>
      </c>
      <c r="J417" t="str">
        <f t="shared" si="20"/>
        <v>Q4</v>
      </c>
      <c r="K417" t="str">
        <f>TEXT(checking_account_main[[#This Row],[Date]],"mmm-yyyy")</f>
        <v>Dec-2022</v>
      </c>
      <c r="L417">
        <f>_xlfn.XLOOKUP(checking_account_main[[#This Row],[Month_Year]],checking_account_main[Month_Year],checking_account_main[Balance],"",0,-1)</f>
        <v>283523</v>
      </c>
    </row>
    <row r="418" spans="1:12" x14ac:dyDescent="0.3">
      <c r="A418" s="1">
        <v>44907</v>
      </c>
      <c r="B418" t="s">
        <v>434</v>
      </c>
      <c r="C418" t="s">
        <v>47</v>
      </c>
      <c r="D418" t="s">
        <v>29</v>
      </c>
      <c r="E418" t="s">
        <v>17</v>
      </c>
      <c r="F418" s="3">
        <v>372</v>
      </c>
      <c r="G418">
        <v>266864</v>
      </c>
      <c r="H418">
        <f t="shared" si="18"/>
        <v>2022</v>
      </c>
      <c r="I418" t="str">
        <f t="shared" si="19"/>
        <v>December</v>
      </c>
      <c r="J418" t="str">
        <f t="shared" si="20"/>
        <v>Q4</v>
      </c>
      <c r="K418" t="str">
        <f>TEXT(checking_account_main[[#This Row],[Date]],"mmm-yyyy")</f>
        <v>Dec-2022</v>
      </c>
      <c r="L418">
        <f>_xlfn.XLOOKUP(checking_account_main[[#This Row],[Month_Year]],checking_account_main[Month_Year],checking_account_main[Balance],"",0,-1)</f>
        <v>283523</v>
      </c>
    </row>
    <row r="419" spans="1:12" x14ac:dyDescent="0.3">
      <c r="A419" s="1">
        <v>44908</v>
      </c>
      <c r="B419" t="s">
        <v>435</v>
      </c>
      <c r="C419" t="s">
        <v>8</v>
      </c>
      <c r="D419" t="s">
        <v>9</v>
      </c>
      <c r="E419" t="s">
        <v>10</v>
      </c>
      <c r="F419" s="3">
        <v>825</v>
      </c>
      <c r="G419">
        <v>267689</v>
      </c>
      <c r="H419">
        <f t="shared" si="18"/>
        <v>2022</v>
      </c>
      <c r="I419" t="str">
        <f t="shared" si="19"/>
        <v>December</v>
      </c>
      <c r="J419" t="str">
        <f t="shared" si="20"/>
        <v>Q4</v>
      </c>
      <c r="K419" t="str">
        <f>TEXT(checking_account_main[[#This Row],[Date]],"mmm-yyyy")</f>
        <v>Dec-2022</v>
      </c>
      <c r="L419">
        <f>_xlfn.XLOOKUP(checking_account_main[[#This Row],[Month_Year]],checking_account_main[Month_Year],checking_account_main[Balance],"",0,-1)</f>
        <v>283523</v>
      </c>
    </row>
    <row r="420" spans="1:12" x14ac:dyDescent="0.3">
      <c r="A420" s="1">
        <v>44908</v>
      </c>
      <c r="B420" t="s">
        <v>436</v>
      </c>
      <c r="C420" t="s">
        <v>74</v>
      </c>
      <c r="D420" t="s">
        <v>16</v>
      </c>
      <c r="E420" t="s">
        <v>17</v>
      </c>
      <c r="F420" s="3">
        <v>244</v>
      </c>
      <c r="G420">
        <v>267445</v>
      </c>
      <c r="H420">
        <f t="shared" si="18"/>
        <v>2022</v>
      </c>
      <c r="I420" t="str">
        <f t="shared" si="19"/>
        <v>December</v>
      </c>
      <c r="J420" t="str">
        <f t="shared" si="20"/>
        <v>Q4</v>
      </c>
      <c r="K420" t="str">
        <f>TEXT(checking_account_main[[#This Row],[Date]],"mmm-yyyy")</f>
        <v>Dec-2022</v>
      </c>
      <c r="L420">
        <f>_xlfn.XLOOKUP(checking_account_main[[#This Row],[Month_Year]],checking_account_main[Month_Year],checking_account_main[Balance],"",0,-1)</f>
        <v>283523</v>
      </c>
    </row>
    <row r="421" spans="1:12" x14ac:dyDescent="0.3">
      <c r="A421" s="1">
        <v>44909</v>
      </c>
      <c r="B421" t="s">
        <v>437</v>
      </c>
      <c r="C421" t="s">
        <v>8</v>
      </c>
      <c r="D421" t="s">
        <v>9</v>
      </c>
      <c r="E421" t="s">
        <v>10</v>
      </c>
      <c r="F421" s="3">
        <v>911</v>
      </c>
      <c r="G421">
        <v>268356</v>
      </c>
      <c r="H421">
        <f t="shared" si="18"/>
        <v>2022</v>
      </c>
      <c r="I421" t="str">
        <f t="shared" si="19"/>
        <v>December</v>
      </c>
      <c r="J421" t="str">
        <f t="shared" si="20"/>
        <v>Q4</v>
      </c>
      <c r="K421" t="str">
        <f>TEXT(checking_account_main[[#This Row],[Date]],"mmm-yyyy")</f>
        <v>Dec-2022</v>
      </c>
      <c r="L421">
        <f>_xlfn.XLOOKUP(checking_account_main[[#This Row],[Month_Year]],checking_account_main[Month_Year],checking_account_main[Balance],"",0,-1)</f>
        <v>283523</v>
      </c>
    </row>
    <row r="422" spans="1:12" x14ac:dyDescent="0.3">
      <c r="A422" s="1">
        <v>44910</v>
      </c>
      <c r="B422" t="s">
        <v>438</v>
      </c>
      <c r="C422" t="s">
        <v>8</v>
      </c>
      <c r="D422" t="s">
        <v>9</v>
      </c>
      <c r="E422" t="s">
        <v>10</v>
      </c>
      <c r="F422" s="3">
        <v>1093</v>
      </c>
      <c r="G422">
        <v>269449</v>
      </c>
      <c r="H422">
        <f t="shared" si="18"/>
        <v>2022</v>
      </c>
      <c r="I422" t="str">
        <f t="shared" si="19"/>
        <v>December</v>
      </c>
      <c r="J422" t="str">
        <f t="shared" si="20"/>
        <v>Q4</v>
      </c>
      <c r="K422" t="str">
        <f>TEXT(checking_account_main[[#This Row],[Date]],"mmm-yyyy")</f>
        <v>Dec-2022</v>
      </c>
      <c r="L422">
        <f>_xlfn.XLOOKUP(checking_account_main[[#This Row],[Month_Year]],checking_account_main[Month_Year],checking_account_main[Balance],"",0,-1)</f>
        <v>283523</v>
      </c>
    </row>
    <row r="423" spans="1:12" x14ac:dyDescent="0.3">
      <c r="A423" s="1">
        <v>44911</v>
      </c>
      <c r="B423" t="s">
        <v>439</v>
      </c>
      <c r="C423" t="s">
        <v>8</v>
      </c>
      <c r="D423" t="s">
        <v>9</v>
      </c>
      <c r="E423" t="s">
        <v>10</v>
      </c>
      <c r="F423" s="3">
        <v>808</v>
      </c>
      <c r="G423">
        <v>270257</v>
      </c>
      <c r="H423">
        <f t="shared" si="18"/>
        <v>2022</v>
      </c>
      <c r="I423" t="str">
        <f t="shared" si="19"/>
        <v>December</v>
      </c>
      <c r="J423" t="str">
        <f t="shared" si="20"/>
        <v>Q4</v>
      </c>
      <c r="K423" t="str">
        <f>TEXT(checking_account_main[[#This Row],[Date]],"mmm-yyyy")</f>
        <v>Dec-2022</v>
      </c>
      <c r="L423">
        <f>_xlfn.XLOOKUP(checking_account_main[[#This Row],[Month_Year]],checking_account_main[Month_Year],checking_account_main[Balance],"",0,-1)</f>
        <v>283523</v>
      </c>
    </row>
    <row r="424" spans="1:12" x14ac:dyDescent="0.3">
      <c r="A424" s="1">
        <v>44912</v>
      </c>
      <c r="B424" t="s">
        <v>440</v>
      </c>
      <c r="C424" t="s">
        <v>8</v>
      </c>
      <c r="D424" t="s">
        <v>9</v>
      </c>
      <c r="E424" t="s">
        <v>10</v>
      </c>
      <c r="F424" s="3">
        <v>927</v>
      </c>
      <c r="G424">
        <v>271184</v>
      </c>
      <c r="H424">
        <f t="shared" si="18"/>
        <v>2022</v>
      </c>
      <c r="I424" t="str">
        <f t="shared" si="19"/>
        <v>December</v>
      </c>
      <c r="J424" t="str">
        <f t="shared" si="20"/>
        <v>Q4</v>
      </c>
      <c r="K424" t="str">
        <f>TEXT(checking_account_main[[#This Row],[Date]],"mmm-yyyy")</f>
        <v>Dec-2022</v>
      </c>
      <c r="L424">
        <f>_xlfn.XLOOKUP(checking_account_main[[#This Row],[Month_Year]],checking_account_main[Month_Year],checking_account_main[Balance],"",0,-1)</f>
        <v>283523</v>
      </c>
    </row>
    <row r="425" spans="1:12" x14ac:dyDescent="0.3">
      <c r="A425" s="1">
        <v>44913</v>
      </c>
      <c r="B425" t="s">
        <v>441</v>
      </c>
      <c r="C425" t="s">
        <v>8</v>
      </c>
      <c r="D425" t="s">
        <v>9</v>
      </c>
      <c r="E425" t="s">
        <v>10</v>
      </c>
      <c r="F425" s="3">
        <v>733</v>
      </c>
      <c r="G425">
        <v>271917</v>
      </c>
      <c r="H425">
        <f t="shared" si="18"/>
        <v>2022</v>
      </c>
      <c r="I425" t="str">
        <f t="shared" si="19"/>
        <v>December</v>
      </c>
      <c r="J425" t="str">
        <f t="shared" si="20"/>
        <v>Q4</v>
      </c>
      <c r="K425" t="str">
        <f>TEXT(checking_account_main[[#This Row],[Date]],"mmm-yyyy")</f>
        <v>Dec-2022</v>
      </c>
      <c r="L425">
        <f>_xlfn.XLOOKUP(checking_account_main[[#This Row],[Month_Year]],checking_account_main[Month_Year],checking_account_main[Balance],"",0,-1)</f>
        <v>283523</v>
      </c>
    </row>
    <row r="426" spans="1:12" x14ac:dyDescent="0.3">
      <c r="A426" s="1">
        <v>44914</v>
      </c>
      <c r="B426" t="s">
        <v>442</v>
      </c>
      <c r="C426" t="s">
        <v>8</v>
      </c>
      <c r="D426" t="s">
        <v>9</v>
      </c>
      <c r="E426" t="s">
        <v>10</v>
      </c>
      <c r="F426" s="3">
        <v>1123</v>
      </c>
      <c r="G426">
        <v>273040</v>
      </c>
      <c r="H426">
        <f t="shared" si="18"/>
        <v>2022</v>
      </c>
      <c r="I426" t="str">
        <f t="shared" si="19"/>
        <v>December</v>
      </c>
      <c r="J426" t="str">
        <f t="shared" si="20"/>
        <v>Q4</v>
      </c>
      <c r="K426" t="str">
        <f>TEXT(checking_account_main[[#This Row],[Date]],"mmm-yyyy")</f>
        <v>Dec-2022</v>
      </c>
      <c r="L426">
        <f>_xlfn.XLOOKUP(checking_account_main[[#This Row],[Month_Year]],checking_account_main[Month_Year],checking_account_main[Balance],"",0,-1)</f>
        <v>283523</v>
      </c>
    </row>
    <row r="427" spans="1:12" x14ac:dyDescent="0.3">
      <c r="A427" s="1">
        <v>44915</v>
      </c>
      <c r="B427" t="s">
        <v>443</v>
      </c>
      <c r="C427" t="s">
        <v>8</v>
      </c>
      <c r="D427" t="s">
        <v>9</v>
      </c>
      <c r="E427" t="s">
        <v>10</v>
      </c>
      <c r="F427" s="3">
        <v>782</v>
      </c>
      <c r="G427">
        <v>273822</v>
      </c>
      <c r="H427">
        <f t="shared" si="18"/>
        <v>2022</v>
      </c>
      <c r="I427" t="str">
        <f t="shared" si="19"/>
        <v>December</v>
      </c>
      <c r="J427" t="str">
        <f t="shared" si="20"/>
        <v>Q4</v>
      </c>
      <c r="K427" t="str">
        <f>TEXT(checking_account_main[[#This Row],[Date]],"mmm-yyyy")</f>
        <v>Dec-2022</v>
      </c>
      <c r="L427">
        <f>_xlfn.XLOOKUP(checking_account_main[[#This Row],[Month_Year]],checking_account_main[Month_Year],checking_account_main[Balance],"",0,-1)</f>
        <v>283523</v>
      </c>
    </row>
    <row r="428" spans="1:12" x14ac:dyDescent="0.3">
      <c r="A428" s="1">
        <v>44916</v>
      </c>
      <c r="B428" t="s">
        <v>444</v>
      </c>
      <c r="C428" t="s">
        <v>8</v>
      </c>
      <c r="D428" t="s">
        <v>9</v>
      </c>
      <c r="E428" t="s">
        <v>10</v>
      </c>
      <c r="F428" s="3">
        <v>800</v>
      </c>
      <c r="G428">
        <v>274622</v>
      </c>
      <c r="H428">
        <f t="shared" si="18"/>
        <v>2022</v>
      </c>
      <c r="I428" t="str">
        <f t="shared" si="19"/>
        <v>December</v>
      </c>
      <c r="J428" t="str">
        <f t="shared" si="20"/>
        <v>Q4</v>
      </c>
      <c r="K428" t="str">
        <f>TEXT(checking_account_main[[#This Row],[Date]],"mmm-yyyy")</f>
        <v>Dec-2022</v>
      </c>
      <c r="L428">
        <f>_xlfn.XLOOKUP(checking_account_main[[#This Row],[Month_Year]],checking_account_main[Month_Year],checking_account_main[Balance],"",0,-1)</f>
        <v>283523</v>
      </c>
    </row>
    <row r="429" spans="1:12" x14ac:dyDescent="0.3">
      <c r="A429" s="1">
        <v>44917</v>
      </c>
      <c r="B429" t="s">
        <v>445</v>
      </c>
      <c r="C429" t="s">
        <v>8</v>
      </c>
      <c r="D429" t="s">
        <v>9</v>
      </c>
      <c r="E429" t="s">
        <v>10</v>
      </c>
      <c r="F429" s="3">
        <v>981</v>
      </c>
      <c r="G429">
        <v>275603</v>
      </c>
      <c r="H429">
        <f t="shared" si="18"/>
        <v>2022</v>
      </c>
      <c r="I429" t="str">
        <f t="shared" si="19"/>
        <v>December</v>
      </c>
      <c r="J429" t="str">
        <f t="shared" si="20"/>
        <v>Q4</v>
      </c>
      <c r="K429" t="str">
        <f>TEXT(checking_account_main[[#This Row],[Date]],"mmm-yyyy")</f>
        <v>Dec-2022</v>
      </c>
      <c r="L429">
        <f>_xlfn.XLOOKUP(checking_account_main[[#This Row],[Month_Year]],checking_account_main[Month_Year],checking_account_main[Balance],"",0,-1)</f>
        <v>283523</v>
      </c>
    </row>
    <row r="430" spans="1:12" x14ac:dyDescent="0.3">
      <c r="A430" s="1">
        <v>44918</v>
      </c>
      <c r="B430" t="s">
        <v>446</v>
      </c>
      <c r="C430" t="s">
        <v>8</v>
      </c>
      <c r="D430" t="s">
        <v>9</v>
      </c>
      <c r="E430" t="s">
        <v>10</v>
      </c>
      <c r="F430" s="3">
        <v>1142</v>
      </c>
      <c r="G430">
        <v>276745</v>
      </c>
      <c r="H430">
        <f t="shared" si="18"/>
        <v>2022</v>
      </c>
      <c r="I430" t="str">
        <f t="shared" si="19"/>
        <v>December</v>
      </c>
      <c r="J430" t="str">
        <f t="shared" si="20"/>
        <v>Q4</v>
      </c>
      <c r="K430" t="str">
        <f>TEXT(checking_account_main[[#This Row],[Date]],"mmm-yyyy")</f>
        <v>Dec-2022</v>
      </c>
      <c r="L430">
        <f>_xlfn.XLOOKUP(checking_account_main[[#This Row],[Month_Year]],checking_account_main[Month_Year],checking_account_main[Balance],"",0,-1)</f>
        <v>283523</v>
      </c>
    </row>
    <row r="431" spans="1:12" x14ac:dyDescent="0.3">
      <c r="A431" s="1">
        <v>44919</v>
      </c>
      <c r="B431" t="s">
        <v>447</v>
      </c>
      <c r="C431" t="s">
        <v>8</v>
      </c>
      <c r="D431" t="s">
        <v>9</v>
      </c>
      <c r="E431" t="s">
        <v>10</v>
      </c>
      <c r="F431" s="3">
        <v>1064</v>
      </c>
      <c r="G431">
        <v>277809</v>
      </c>
      <c r="H431">
        <f t="shared" si="18"/>
        <v>2022</v>
      </c>
      <c r="I431" t="str">
        <f t="shared" si="19"/>
        <v>December</v>
      </c>
      <c r="J431" t="str">
        <f t="shared" si="20"/>
        <v>Q4</v>
      </c>
      <c r="K431" t="str">
        <f>TEXT(checking_account_main[[#This Row],[Date]],"mmm-yyyy")</f>
        <v>Dec-2022</v>
      </c>
      <c r="L431">
        <f>_xlfn.XLOOKUP(checking_account_main[[#This Row],[Month_Year]],checking_account_main[Month_Year],checking_account_main[Balance],"",0,-1)</f>
        <v>283523</v>
      </c>
    </row>
    <row r="432" spans="1:12" x14ac:dyDescent="0.3">
      <c r="A432" s="1">
        <v>44920</v>
      </c>
      <c r="B432" t="s">
        <v>448</v>
      </c>
      <c r="C432" t="s">
        <v>8</v>
      </c>
      <c r="D432" t="s">
        <v>9</v>
      </c>
      <c r="E432" t="s">
        <v>10</v>
      </c>
      <c r="F432" s="3">
        <v>1076</v>
      </c>
      <c r="G432">
        <v>278885</v>
      </c>
      <c r="H432">
        <f t="shared" si="18"/>
        <v>2022</v>
      </c>
      <c r="I432" t="str">
        <f t="shared" si="19"/>
        <v>December</v>
      </c>
      <c r="J432" t="str">
        <f t="shared" si="20"/>
        <v>Q4</v>
      </c>
      <c r="K432" t="str">
        <f>TEXT(checking_account_main[[#This Row],[Date]],"mmm-yyyy")</f>
        <v>Dec-2022</v>
      </c>
      <c r="L432">
        <f>_xlfn.XLOOKUP(checking_account_main[[#This Row],[Month_Year]],checking_account_main[Month_Year],checking_account_main[Balance],"",0,-1)</f>
        <v>283523</v>
      </c>
    </row>
    <row r="433" spans="1:12" x14ac:dyDescent="0.3">
      <c r="A433" s="1">
        <v>44921</v>
      </c>
      <c r="B433" t="s">
        <v>449</v>
      </c>
      <c r="C433" t="s">
        <v>8</v>
      </c>
      <c r="D433" t="s">
        <v>9</v>
      </c>
      <c r="E433" t="s">
        <v>10</v>
      </c>
      <c r="F433" s="3">
        <v>849</v>
      </c>
      <c r="G433">
        <v>279734</v>
      </c>
      <c r="H433">
        <f t="shared" si="18"/>
        <v>2022</v>
      </c>
      <c r="I433" t="str">
        <f t="shared" si="19"/>
        <v>December</v>
      </c>
      <c r="J433" t="str">
        <f t="shared" si="20"/>
        <v>Q4</v>
      </c>
      <c r="K433" t="str">
        <f>TEXT(checking_account_main[[#This Row],[Date]],"mmm-yyyy")</f>
        <v>Dec-2022</v>
      </c>
      <c r="L433">
        <f>_xlfn.XLOOKUP(checking_account_main[[#This Row],[Month_Year]],checking_account_main[Month_Year],checking_account_main[Balance],"",0,-1)</f>
        <v>283523</v>
      </c>
    </row>
    <row r="434" spans="1:12" x14ac:dyDescent="0.3">
      <c r="A434" s="1">
        <v>44922</v>
      </c>
      <c r="B434" t="s">
        <v>450</v>
      </c>
      <c r="C434" t="s">
        <v>8</v>
      </c>
      <c r="D434" t="s">
        <v>9</v>
      </c>
      <c r="E434" t="s">
        <v>10</v>
      </c>
      <c r="F434" s="3">
        <v>769</v>
      </c>
      <c r="G434">
        <v>280503</v>
      </c>
      <c r="H434">
        <f t="shared" si="18"/>
        <v>2022</v>
      </c>
      <c r="I434" t="str">
        <f t="shared" si="19"/>
        <v>December</v>
      </c>
      <c r="J434" t="str">
        <f t="shared" si="20"/>
        <v>Q4</v>
      </c>
      <c r="K434" t="str">
        <f>TEXT(checking_account_main[[#This Row],[Date]],"mmm-yyyy")</f>
        <v>Dec-2022</v>
      </c>
      <c r="L434">
        <f>_xlfn.XLOOKUP(checking_account_main[[#This Row],[Month_Year]],checking_account_main[Month_Year],checking_account_main[Balance],"",0,-1)</f>
        <v>283523</v>
      </c>
    </row>
    <row r="435" spans="1:12" x14ac:dyDescent="0.3">
      <c r="A435" s="1">
        <v>44923</v>
      </c>
      <c r="B435" t="s">
        <v>451</v>
      </c>
      <c r="C435" t="s">
        <v>8</v>
      </c>
      <c r="D435" t="s">
        <v>9</v>
      </c>
      <c r="E435" t="s">
        <v>10</v>
      </c>
      <c r="F435" s="3">
        <v>703</v>
      </c>
      <c r="G435">
        <v>281206</v>
      </c>
      <c r="H435">
        <f t="shared" si="18"/>
        <v>2022</v>
      </c>
      <c r="I435" t="str">
        <f t="shared" si="19"/>
        <v>December</v>
      </c>
      <c r="J435" t="str">
        <f t="shared" si="20"/>
        <v>Q4</v>
      </c>
      <c r="K435" t="str">
        <f>TEXT(checking_account_main[[#This Row],[Date]],"mmm-yyyy")</f>
        <v>Dec-2022</v>
      </c>
      <c r="L435">
        <f>_xlfn.XLOOKUP(checking_account_main[[#This Row],[Month_Year]],checking_account_main[Month_Year],checking_account_main[Balance],"",0,-1)</f>
        <v>283523</v>
      </c>
    </row>
    <row r="436" spans="1:12" x14ac:dyDescent="0.3">
      <c r="A436" s="1">
        <v>44924</v>
      </c>
      <c r="B436" t="s">
        <v>452</v>
      </c>
      <c r="C436" t="s">
        <v>8</v>
      </c>
      <c r="D436" t="s">
        <v>9</v>
      </c>
      <c r="E436" t="s">
        <v>10</v>
      </c>
      <c r="F436" s="3">
        <v>1145</v>
      </c>
      <c r="G436">
        <v>282351</v>
      </c>
      <c r="H436">
        <f t="shared" si="18"/>
        <v>2022</v>
      </c>
      <c r="I436" t="str">
        <f t="shared" si="19"/>
        <v>December</v>
      </c>
      <c r="J436" t="str">
        <f t="shared" si="20"/>
        <v>Q4</v>
      </c>
      <c r="K436" t="str">
        <f>TEXT(checking_account_main[[#This Row],[Date]],"mmm-yyyy")</f>
        <v>Dec-2022</v>
      </c>
      <c r="L436">
        <f>_xlfn.XLOOKUP(checking_account_main[[#This Row],[Month_Year]],checking_account_main[Month_Year],checking_account_main[Balance],"",0,-1)</f>
        <v>283523</v>
      </c>
    </row>
    <row r="437" spans="1:12" x14ac:dyDescent="0.3">
      <c r="A437" s="1">
        <v>44925</v>
      </c>
      <c r="B437" t="s">
        <v>453</v>
      </c>
      <c r="C437" t="s">
        <v>8</v>
      </c>
      <c r="D437" t="s">
        <v>9</v>
      </c>
      <c r="E437" t="s">
        <v>10</v>
      </c>
      <c r="F437" s="3">
        <v>794</v>
      </c>
      <c r="G437">
        <v>283145</v>
      </c>
      <c r="H437">
        <f t="shared" si="18"/>
        <v>2022</v>
      </c>
      <c r="I437" t="str">
        <f t="shared" si="19"/>
        <v>December</v>
      </c>
      <c r="J437" t="str">
        <f t="shared" si="20"/>
        <v>Q4</v>
      </c>
      <c r="K437" t="str">
        <f>TEXT(checking_account_main[[#This Row],[Date]],"mmm-yyyy")</f>
        <v>Dec-2022</v>
      </c>
      <c r="L437">
        <f>_xlfn.XLOOKUP(checking_account_main[[#This Row],[Month_Year]],checking_account_main[Month_Year],checking_account_main[Balance],"",0,-1)</f>
        <v>283523</v>
      </c>
    </row>
    <row r="438" spans="1:12" x14ac:dyDescent="0.3">
      <c r="A438" s="1">
        <v>44925</v>
      </c>
      <c r="B438" t="s">
        <v>454</v>
      </c>
      <c r="C438" t="s">
        <v>15</v>
      </c>
      <c r="D438" t="s">
        <v>16</v>
      </c>
      <c r="E438" t="s">
        <v>17</v>
      </c>
      <c r="F438" s="3">
        <v>236</v>
      </c>
      <c r="G438">
        <v>282909</v>
      </c>
      <c r="H438">
        <f t="shared" si="18"/>
        <v>2022</v>
      </c>
      <c r="I438" t="str">
        <f t="shared" si="19"/>
        <v>December</v>
      </c>
      <c r="J438" t="str">
        <f t="shared" si="20"/>
        <v>Q4</v>
      </c>
      <c r="K438" t="str">
        <f>TEXT(checking_account_main[[#This Row],[Date]],"mmm-yyyy")</f>
        <v>Dec-2022</v>
      </c>
      <c r="L438">
        <f>_xlfn.XLOOKUP(checking_account_main[[#This Row],[Month_Year]],checking_account_main[Month_Year],checking_account_main[Balance],"",0,-1)</f>
        <v>283523</v>
      </c>
    </row>
    <row r="439" spans="1:12" x14ac:dyDescent="0.3">
      <c r="A439" s="1">
        <v>44926</v>
      </c>
      <c r="B439" t="s">
        <v>455</v>
      </c>
      <c r="C439" t="s">
        <v>8</v>
      </c>
      <c r="D439" t="s">
        <v>9</v>
      </c>
      <c r="E439" t="s">
        <v>10</v>
      </c>
      <c r="F439" s="3">
        <v>942</v>
      </c>
      <c r="G439">
        <v>283851</v>
      </c>
      <c r="H439">
        <f t="shared" si="18"/>
        <v>2022</v>
      </c>
      <c r="I439" t="str">
        <f t="shared" si="19"/>
        <v>December</v>
      </c>
      <c r="J439" t="str">
        <f t="shared" si="20"/>
        <v>Q4</v>
      </c>
      <c r="K439" t="str">
        <f>TEXT(checking_account_main[[#This Row],[Date]],"mmm-yyyy")</f>
        <v>Dec-2022</v>
      </c>
      <c r="L439">
        <f>_xlfn.XLOOKUP(checking_account_main[[#This Row],[Month_Year]],checking_account_main[Month_Year],checking_account_main[Balance],"",0,-1)</f>
        <v>283523</v>
      </c>
    </row>
    <row r="440" spans="1:12" x14ac:dyDescent="0.3">
      <c r="A440" s="1">
        <v>44926</v>
      </c>
      <c r="B440" t="s">
        <v>456</v>
      </c>
      <c r="C440" t="s">
        <v>22</v>
      </c>
      <c r="D440" t="s">
        <v>16</v>
      </c>
      <c r="E440" t="s">
        <v>17</v>
      </c>
      <c r="F440" s="3">
        <v>328</v>
      </c>
      <c r="G440">
        <v>283523</v>
      </c>
      <c r="H440">
        <f t="shared" si="18"/>
        <v>2022</v>
      </c>
      <c r="I440" t="str">
        <f t="shared" si="19"/>
        <v>December</v>
      </c>
      <c r="J440" t="str">
        <f t="shared" si="20"/>
        <v>Q4</v>
      </c>
      <c r="K440" t="str">
        <f>TEXT(checking_account_main[[#This Row],[Date]],"mmm-yyyy")</f>
        <v>Dec-2022</v>
      </c>
      <c r="L440">
        <f>_xlfn.XLOOKUP(checking_account_main[[#This Row],[Month_Year]],checking_account_main[Month_Year],checking_account_main[Balance],"",0,-1)</f>
        <v>283523</v>
      </c>
    </row>
    <row r="441" spans="1:12" x14ac:dyDescent="0.3">
      <c r="A441" s="1">
        <v>44927</v>
      </c>
      <c r="B441" t="s">
        <v>457</v>
      </c>
      <c r="C441" t="s">
        <v>8</v>
      </c>
      <c r="D441" t="s">
        <v>9</v>
      </c>
      <c r="E441" t="s">
        <v>10</v>
      </c>
      <c r="F441" s="3">
        <v>1107</v>
      </c>
      <c r="G441">
        <v>284630</v>
      </c>
      <c r="H441">
        <f t="shared" si="18"/>
        <v>2023</v>
      </c>
      <c r="I441" t="str">
        <f t="shared" si="19"/>
        <v>January</v>
      </c>
      <c r="J441" t="str">
        <f t="shared" si="20"/>
        <v>Q1</v>
      </c>
      <c r="K441" t="str">
        <f>TEXT(checking_account_main[[#This Row],[Date]],"mmm-yyyy")</f>
        <v>Jan-2023</v>
      </c>
      <c r="L441">
        <f>_xlfn.XLOOKUP(checking_account_main[[#This Row],[Month_Year]],checking_account_main[Month_Year],checking_account_main[Balance],"",0,-1)</f>
        <v>311246</v>
      </c>
    </row>
    <row r="442" spans="1:12" x14ac:dyDescent="0.3">
      <c r="A442" s="1">
        <v>44927</v>
      </c>
      <c r="B442" t="s">
        <v>458</v>
      </c>
      <c r="C442" t="s">
        <v>22</v>
      </c>
      <c r="D442" t="s">
        <v>16</v>
      </c>
      <c r="E442" t="s">
        <v>17</v>
      </c>
      <c r="F442" s="3">
        <v>421</v>
      </c>
      <c r="G442">
        <v>284209</v>
      </c>
      <c r="H442">
        <f t="shared" si="18"/>
        <v>2023</v>
      </c>
      <c r="I442" t="str">
        <f t="shared" si="19"/>
        <v>January</v>
      </c>
      <c r="J442" t="str">
        <f t="shared" si="20"/>
        <v>Q1</v>
      </c>
      <c r="K442" t="str">
        <f>TEXT(checking_account_main[[#This Row],[Date]],"mmm-yyyy")</f>
        <v>Jan-2023</v>
      </c>
      <c r="L442">
        <f>_xlfn.XLOOKUP(checking_account_main[[#This Row],[Month_Year]],checking_account_main[Month_Year],checking_account_main[Balance],"",0,-1)</f>
        <v>311246</v>
      </c>
    </row>
    <row r="443" spans="1:12" x14ac:dyDescent="0.3">
      <c r="A443" s="1">
        <v>44928</v>
      </c>
      <c r="B443" t="s">
        <v>459</v>
      </c>
      <c r="C443" t="s">
        <v>8</v>
      </c>
      <c r="D443" t="s">
        <v>9</v>
      </c>
      <c r="E443" t="s">
        <v>10</v>
      </c>
      <c r="F443" s="3">
        <v>919</v>
      </c>
      <c r="G443">
        <v>285128</v>
      </c>
      <c r="H443">
        <f t="shared" si="18"/>
        <v>2023</v>
      </c>
      <c r="I443" t="str">
        <f t="shared" si="19"/>
        <v>January</v>
      </c>
      <c r="J443" t="str">
        <f t="shared" si="20"/>
        <v>Q1</v>
      </c>
      <c r="K443" t="str">
        <f>TEXT(checking_account_main[[#This Row],[Date]],"mmm-yyyy")</f>
        <v>Jan-2023</v>
      </c>
      <c r="L443">
        <f>_xlfn.XLOOKUP(checking_account_main[[#This Row],[Month_Year]],checking_account_main[Month_Year],checking_account_main[Balance],"",0,-1)</f>
        <v>311246</v>
      </c>
    </row>
    <row r="444" spans="1:12" x14ac:dyDescent="0.3">
      <c r="A444" s="1">
        <v>44929</v>
      </c>
      <c r="B444" t="s">
        <v>460</v>
      </c>
      <c r="C444" t="s">
        <v>8</v>
      </c>
      <c r="D444" t="s">
        <v>9</v>
      </c>
      <c r="E444" t="s">
        <v>10</v>
      </c>
      <c r="F444" s="3">
        <v>1034</v>
      </c>
      <c r="G444">
        <v>286162</v>
      </c>
      <c r="H444">
        <f t="shared" si="18"/>
        <v>2023</v>
      </c>
      <c r="I444" t="str">
        <f t="shared" si="19"/>
        <v>January</v>
      </c>
      <c r="J444" t="str">
        <f t="shared" si="20"/>
        <v>Q1</v>
      </c>
      <c r="K444" t="str">
        <f>TEXT(checking_account_main[[#This Row],[Date]],"mmm-yyyy")</f>
        <v>Jan-2023</v>
      </c>
      <c r="L444">
        <f>_xlfn.XLOOKUP(checking_account_main[[#This Row],[Month_Year]],checking_account_main[Month_Year],checking_account_main[Balance],"",0,-1)</f>
        <v>311246</v>
      </c>
    </row>
    <row r="445" spans="1:12" x14ac:dyDescent="0.3">
      <c r="A445" s="1">
        <v>44930</v>
      </c>
      <c r="B445" t="s">
        <v>461</v>
      </c>
      <c r="C445" t="s">
        <v>8</v>
      </c>
      <c r="D445" t="s">
        <v>9</v>
      </c>
      <c r="E445" t="s">
        <v>10</v>
      </c>
      <c r="F445" s="3">
        <v>1068</v>
      </c>
      <c r="G445">
        <v>287230</v>
      </c>
      <c r="H445">
        <f t="shared" si="18"/>
        <v>2023</v>
      </c>
      <c r="I445" t="str">
        <f t="shared" si="19"/>
        <v>January</v>
      </c>
      <c r="J445" t="str">
        <f t="shared" si="20"/>
        <v>Q1</v>
      </c>
      <c r="K445" t="str">
        <f>TEXT(checking_account_main[[#This Row],[Date]],"mmm-yyyy")</f>
        <v>Jan-2023</v>
      </c>
      <c r="L445">
        <f>_xlfn.XLOOKUP(checking_account_main[[#This Row],[Month_Year]],checking_account_main[Month_Year],checking_account_main[Balance],"",0,-1)</f>
        <v>311246</v>
      </c>
    </row>
    <row r="446" spans="1:12" x14ac:dyDescent="0.3">
      <c r="A446" s="1">
        <v>44931</v>
      </c>
      <c r="B446" t="s">
        <v>462</v>
      </c>
      <c r="C446" t="s">
        <v>8</v>
      </c>
      <c r="D446" t="s">
        <v>9</v>
      </c>
      <c r="E446" t="s">
        <v>10</v>
      </c>
      <c r="F446" s="3">
        <v>1185</v>
      </c>
      <c r="G446">
        <v>288415</v>
      </c>
      <c r="H446">
        <f t="shared" si="18"/>
        <v>2023</v>
      </c>
      <c r="I446" t="str">
        <f t="shared" si="19"/>
        <v>January</v>
      </c>
      <c r="J446" t="str">
        <f t="shared" si="20"/>
        <v>Q1</v>
      </c>
      <c r="K446" t="str">
        <f>TEXT(checking_account_main[[#This Row],[Date]],"mmm-yyyy")</f>
        <v>Jan-2023</v>
      </c>
      <c r="L446">
        <f>_xlfn.XLOOKUP(checking_account_main[[#This Row],[Month_Year]],checking_account_main[Month_Year],checking_account_main[Balance],"",0,-1)</f>
        <v>311246</v>
      </c>
    </row>
    <row r="447" spans="1:12" x14ac:dyDescent="0.3">
      <c r="A447" s="1">
        <v>44932</v>
      </c>
      <c r="B447" t="s">
        <v>463</v>
      </c>
      <c r="C447" t="s">
        <v>8</v>
      </c>
      <c r="D447" t="s">
        <v>9</v>
      </c>
      <c r="E447" t="s">
        <v>10</v>
      </c>
      <c r="F447" s="3">
        <v>1140</v>
      </c>
      <c r="G447">
        <v>289555</v>
      </c>
      <c r="H447">
        <f t="shared" si="18"/>
        <v>2023</v>
      </c>
      <c r="I447" t="str">
        <f t="shared" si="19"/>
        <v>January</v>
      </c>
      <c r="J447" t="str">
        <f t="shared" si="20"/>
        <v>Q1</v>
      </c>
      <c r="K447" t="str">
        <f>TEXT(checking_account_main[[#This Row],[Date]],"mmm-yyyy")</f>
        <v>Jan-2023</v>
      </c>
      <c r="L447">
        <f>_xlfn.XLOOKUP(checking_account_main[[#This Row],[Month_Year]],checking_account_main[Month_Year],checking_account_main[Balance],"",0,-1)</f>
        <v>311246</v>
      </c>
    </row>
    <row r="448" spans="1:12" x14ac:dyDescent="0.3">
      <c r="A448" s="1">
        <v>44933</v>
      </c>
      <c r="B448" t="s">
        <v>464</v>
      </c>
      <c r="C448" t="s">
        <v>8</v>
      </c>
      <c r="D448" t="s">
        <v>9</v>
      </c>
      <c r="E448" t="s">
        <v>10</v>
      </c>
      <c r="F448" s="3">
        <v>902</v>
      </c>
      <c r="G448">
        <v>290457</v>
      </c>
      <c r="H448">
        <f t="shared" si="18"/>
        <v>2023</v>
      </c>
      <c r="I448" t="str">
        <f t="shared" si="19"/>
        <v>January</v>
      </c>
      <c r="J448" t="str">
        <f t="shared" si="20"/>
        <v>Q1</v>
      </c>
      <c r="K448" t="str">
        <f>TEXT(checking_account_main[[#This Row],[Date]],"mmm-yyyy")</f>
        <v>Jan-2023</v>
      </c>
      <c r="L448">
        <f>_xlfn.XLOOKUP(checking_account_main[[#This Row],[Month_Year]],checking_account_main[Month_Year],checking_account_main[Balance],"",0,-1)</f>
        <v>311246</v>
      </c>
    </row>
    <row r="449" spans="1:12" x14ac:dyDescent="0.3">
      <c r="A449" s="1">
        <v>44934</v>
      </c>
      <c r="B449" t="s">
        <v>465</v>
      </c>
      <c r="C449" t="s">
        <v>8</v>
      </c>
      <c r="D449" t="s">
        <v>9</v>
      </c>
      <c r="E449" t="s">
        <v>10</v>
      </c>
      <c r="F449" s="3">
        <v>1134</v>
      </c>
      <c r="G449">
        <v>291591</v>
      </c>
      <c r="H449">
        <f t="shared" si="18"/>
        <v>2023</v>
      </c>
      <c r="I449" t="str">
        <f t="shared" si="19"/>
        <v>January</v>
      </c>
      <c r="J449" t="str">
        <f t="shared" si="20"/>
        <v>Q1</v>
      </c>
      <c r="K449" t="str">
        <f>TEXT(checking_account_main[[#This Row],[Date]],"mmm-yyyy")</f>
        <v>Jan-2023</v>
      </c>
      <c r="L449">
        <f>_xlfn.XLOOKUP(checking_account_main[[#This Row],[Month_Year]],checking_account_main[Month_Year],checking_account_main[Balance],"",0,-1)</f>
        <v>311246</v>
      </c>
    </row>
    <row r="450" spans="1:12" x14ac:dyDescent="0.3">
      <c r="A450" s="1">
        <v>44935</v>
      </c>
      <c r="B450" t="s">
        <v>466</v>
      </c>
      <c r="C450" t="s">
        <v>8</v>
      </c>
      <c r="D450" t="s">
        <v>9</v>
      </c>
      <c r="E450" t="s">
        <v>10</v>
      </c>
      <c r="F450" s="3">
        <v>832</v>
      </c>
      <c r="G450">
        <v>292423</v>
      </c>
      <c r="H450">
        <f t="shared" ref="H450:H513" si="21">YEAR(A450)</f>
        <v>2023</v>
      </c>
      <c r="I450" t="str">
        <f t="shared" ref="I450:I513" si="22">TEXT(A450,"mmmm")</f>
        <v>January</v>
      </c>
      <c r="J450" t="str">
        <f t="shared" ref="J450:J513" si="23">"Q"&amp;ROUNDUP(MONTH(A450)/3,0)</f>
        <v>Q1</v>
      </c>
      <c r="K450" t="str">
        <f>TEXT(checking_account_main[[#This Row],[Date]],"mmm-yyyy")</f>
        <v>Jan-2023</v>
      </c>
      <c r="L450">
        <f>_xlfn.XLOOKUP(checking_account_main[[#This Row],[Month_Year]],checking_account_main[Month_Year],checking_account_main[Balance],"",0,-1)</f>
        <v>311246</v>
      </c>
    </row>
    <row r="451" spans="1:12" x14ac:dyDescent="0.3">
      <c r="A451" s="1">
        <v>44935</v>
      </c>
      <c r="B451" t="s">
        <v>467</v>
      </c>
      <c r="C451" t="s">
        <v>22</v>
      </c>
      <c r="D451" t="s">
        <v>16</v>
      </c>
      <c r="E451" t="s">
        <v>17</v>
      </c>
      <c r="F451" s="3">
        <v>217</v>
      </c>
      <c r="G451">
        <v>292206</v>
      </c>
      <c r="H451">
        <f t="shared" si="21"/>
        <v>2023</v>
      </c>
      <c r="I451" t="str">
        <f t="shared" si="22"/>
        <v>January</v>
      </c>
      <c r="J451" t="str">
        <f t="shared" si="23"/>
        <v>Q1</v>
      </c>
      <c r="K451" t="str">
        <f>TEXT(checking_account_main[[#This Row],[Date]],"mmm-yyyy")</f>
        <v>Jan-2023</v>
      </c>
      <c r="L451">
        <f>_xlfn.XLOOKUP(checking_account_main[[#This Row],[Month_Year]],checking_account_main[Month_Year],checking_account_main[Balance],"",0,-1)</f>
        <v>311246</v>
      </c>
    </row>
    <row r="452" spans="1:12" x14ac:dyDescent="0.3">
      <c r="A452" s="1">
        <v>44936</v>
      </c>
      <c r="B452" t="s">
        <v>468</v>
      </c>
      <c r="C452" t="s">
        <v>8</v>
      </c>
      <c r="D452" t="s">
        <v>9</v>
      </c>
      <c r="E452" t="s">
        <v>10</v>
      </c>
      <c r="F452" s="3">
        <v>974</v>
      </c>
      <c r="G452">
        <v>293180</v>
      </c>
      <c r="H452">
        <f t="shared" si="21"/>
        <v>2023</v>
      </c>
      <c r="I452" t="str">
        <f t="shared" si="22"/>
        <v>January</v>
      </c>
      <c r="J452" t="str">
        <f t="shared" si="23"/>
        <v>Q1</v>
      </c>
      <c r="K452" t="str">
        <f>TEXT(checking_account_main[[#This Row],[Date]],"mmm-yyyy")</f>
        <v>Jan-2023</v>
      </c>
      <c r="L452">
        <f>_xlfn.XLOOKUP(checking_account_main[[#This Row],[Month_Year]],checking_account_main[Month_Year],checking_account_main[Balance],"",0,-1)</f>
        <v>311246</v>
      </c>
    </row>
    <row r="453" spans="1:12" x14ac:dyDescent="0.3">
      <c r="A453" s="1">
        <v>44936</v>
      </c>
      <c r="B453" t="s">
        <v>469</v>
      </c>
      <c r="C453" t="s">
        <v>28</v>
      </c>
      <c r="D453" t="s">
        <v>29</v>
      </c>
      <c r="E453" t="s">
        <v>17</v>
      </c>
      <c r="F453" s="3">
        <v>119</v>
      </c>
      <c r="G453">
        <v>293061</v>
      </c>
      <c r="H453">
        <f t="shared" si="21"/>
        <v>2023</v>
      </c>
      <c r="I453" t="str">
        <f t="shared" si="22"/>
        <v>January</v>
      </c>
      <c r="J453" t="str">
        <f t="shared" si="23"/>
        <v>Q1</v>
      </c>
      <c r="K453" t="str">
        <f>TEXT(checking_account_main[[#This Row],[Date]],"mmm-yyyy")</f>
        <v>Jan-2023</v>
      </c>
      <c r="L453">
        <f>_xlfn.XLOOKUP(checking_account_main[[#This Row],[Month_Year]],checking_account_main[Month_Year],checking_account_main[Balance],"",0,-1)</f>
        <v>311246</v>
      </c>
    </row>
    <row r="454" spans="1:12" x14ac:dyDescent="0.3">
      <c r="A454" s="1">
        <v>44937</v>
      </c>
      <c r="B454" t="s">
        <v>470</v>
      </c>
      <c r="C454" t="s">
        <v>8</v>
      </c>
      <c r="D454" t="s">
        <v>9</v>
      </c>
      <c r="E454" t="s">
        <v>10</v>
      </c>
      <c r="F454" s="3">
        <v>839</v>
      </c>
      <c r="G454">
        <v>293900</v>
      </c>
      <c r="H454">
        <f t="shared" si="21"/>
        <v>2023</v>
      </c>
      <c r="I454" t="str">
        <f t="shared" si="22"/>
        <v>January</v>
      </c>
      <c r="J454" t="str">
        <f t="shared" si="23"/>
        <v>Q1</v>
      </c>
      <c r="K454" t="str">
        <f>TEXT(checking_account_main[[#This Row],[Date]],"mmm-yyyy")</f>
        <v>Jan-2023</v>
      </c>
      <c r="L454">
        <f>_xlfn.XLOOKUP(checking_account_main[[#This Row],[Month_Year]],checking_account_main[Month_Year],checking_account_main[Balance],"",0,-1)</f>
        <v>311246</v>
      </c>
    </row>
    <row r="455" spans="1:12" x14ac:dyDescent="0.3">
      <c r="A455" s="1">
        <v>44937</v>
      </c>
      <c r="B455" t="s">
        <v>471</v>
      </c>
      <c r="C455" t="s">
        <v>74</v>
      </c>
      <c r="D455" t="s">
        <v>16</v>
      </c>
      <c r="E455" t="s">
        <v>17</v>
      </c>
      <c r="F455" s="3">
        <v>189</v>
      </c>
      <c r="G455">
        <v>293711</v>
      </c>
      <c r="H455">
        <f t="shared" si="21"/>
        <v>2023</v>
      </c>
      <c r="I455" t="str">
        <f t="shared" si="22"/>
        <v>January</v>
      </c>
      <c r="J455" t="str">
        <f t="shared" si="23"/>
        <v>Q1</v>
      </c>
      <c r="K455" t="str">
        <f>TEXT(checking_account_main[[#This Row],[Date]],"mmm-yyyy")</f>
        <v>Jan-2023</v>
      </c>
      <c r="L455">
        <f>_xlfn.XLOOKUP(checking_account_main[[#This Row],[Month_Year]],checking_account_main[Month_Year],checking_account_main[Balance],"",0,-1)</f>
        <v>311246</v>
      </c>
    </row>
    <row r="456" spans="1:12" x14ac:dyDescent="0.3">
      <c r="A456" s="1">
        <v>44938</v>
      </c>
      <c r="B456" t="s">
        <v>472</v>
      </c>
      <c r="C456" t="s">
        <v>8</v>
      </c>
      <c r="D456" t="s">
        <v>9</v>
      </c>
      <c r="E456" t="s">
        <v>10</v>
      </c>
      <c r="F456" s="3">
        <v>1081</v>
      </c>
      <c r="G456">
        <v>294792</v>
      </c>
      <c r="H456">
        <f t="shared" si="21"/>
        <v>2023</v>
      </c>
      <c r="I456" t="str">
        <f t="shared" si="22"/>
        <v>January</v>
      </c>
      <c r="J456" t="str">
        <f t="shared" si="23"/>
        <v>Q1</v>
      </c>
      <c r="K456" t="str">
        <f>TEXT(checking_account_main[[#This Row],[Date]],"mmm-yyyy")</f>
        <v>Jan-2023</v>
      </c>
      <c r="L456">
        <f>_xlfn.XLOOKUP(checking_account_main[[#This Row],[Month_Year]],checking_account_main[Month_Year],checking_account_main[Balance],"",0,-1)</f>
        <v>311246</v>
      </c>
    </row>
    <row r="457" spans="1:12" x14ac:dyDescent="0.3">
      <c r="A457" s="1">
        <v>44938</v>
      </c>
      <c r="B457" t="s">
        <v>473</v>
      </c>
      <c r="C457" t="s">
        <v>74</v>
      </c>
      <c r="D457" t="s">
        <v>16</v>
      </c>
      <c r="E457" t="s">
        <v>17</v>
      </c>
      <c r="F457" s="3">
        <v>455</v>
      </c>
      <c r="G457">
        <v>294337</v>
      </c>
      <c r="H457">
        <f t="shared" si="21"/>
        <v>2023</v>
      </c>
      <c r="I457" t="str">
        <f t="shared" si="22"/>
        <v>January</v>
      </c>
      <c r="J457" t="str">
        <f t="shared" si="23"/>
        <v>Q1</v>
      </c>
      <c r="K457" t="str">
        <f>TEXT(checking_account_main[[#This Row],[Date]],"mmm-yyyy")</f>
        <v>Jan-2023</v>
      </c>
      <c r="L457">
        <f>_xlfn.XLOOKUP(checking_account_main[[#This Row],[Month_Year]],checking_account_main[Month_Year],checking_account_main[Balance],"",0,-1)</f>
        <v>311246</v>
      </c>
    </row>
    <row r="458" spans="1:12" x14ac:dyDescent="0.3">
      <c r="A458" s="1">
        <v>44939</v>
      </c>
      <c r="B458" t="s">
        <v>474</v>
      </c>
      <c r="C458" t="s">
        <v>8</v>
      </c>
      <c r="D458" t="s">
        <v>9</v>
      </c>
      <c r="E458" t="s">
        <v>10</v>
      </c>
      <c r="F458" s="3">
        <v>1190</v>
      </c>
      <c r="G458">
        <v>295527</v>
      </c>
      <c r="H458">
        <f t="shared" si="21"/>
        <v>2023</v>
      </c>
      <c r="I458" t="str">
        <f t="shared" si="22"/>
        <v>January</v>
      </c>
      <c r="J458" t="str">
        <f t="shared" si="23"/>
        <v>Q1</v>
      </c>
      <c r="K458" t="str">
        <f>TEXT(checking_account_main[[#This Row],[Date]],"mmm-yyyy")</f>
        <v>Jan-2023</v>
      </c>
      <c r="L458">
        <f>_xlfn.XLOOKUP(checking_account_main[[#This Row],[Month_Year]],checking_account_main[Month_Year],checking_account_main[Balance],"",0,-1)</f>
        <v>311246</v>
      </c>
    </row>
    <row r="459" spans="1:12" x14ac:dyDescent="0.3">
      <c r="A459" s="1">
        <v>44940</v>
      </c>
      <c r="B459" t="s">
        <v>475</v>
      </c>
      <c r="C459" t="s">
        <v>8</v>
      </c>
      <c r="D459" t="s">
        <v>9</v>
      </c>
      <c r="E459" t="s">
        <v>10</v>
      </c>
      <c r="F459" s="3">
        <v>1089</v>
      </c>
      <c r="G459">
        <v>296616</v>
      </c>
      <c r="H459">
        <f t="shared" si="21"/>
        <v>2023</v>
      </c>
      <c r="I459" t="str">
        <f t="shared" si="22"/>
        <v>January</v>
      </c>
      <c r="J459" t="str">
        <f t="shared" si="23"/>
        <v>Q1</v>
      </c>
      <c r="K459" t="str">
        <f>TEXT(checking_account_main[[#This Row],[Date]],"mmm-yyyy")</f>
        <v>Jan-2023</v>
      </c>
      <c r="L459">
        <f>_xlfn.XLOOKUP(checking_account_main[[#This Row],[Month_Year]],checking_account_main[Month_Year],checking_account_main[Balance],"",0,-1)</f>
        <v>311246</v>
      </c>
    </row>
    <row r="460" spans="1:12" x14ac:dyDescent="0.3">
      <c r="A460" s="1">
        <v>44941</v>
      </c>
      <c r="B460" t="s">
        <v>476</v>
      </c>
      <c r="C460" t="s">
        <v>8</v>
      </c>
      <c r="D460" t="s">
        <v>9</v>
      </c>
      <c r="E460" t="s">
        <v>10</v>
      </c>
      <c r="F460" s="3">
        <v>709</v>
      </c>
      <c r="G460">
        <v>297325</v>
      </c>
      <c r="H460">
        <f t="shared" si="21"/>
        <v>2023</v>
      </c>
      <c r="I460" t="str">
        <f t="shared" si="22"/>
        <v>January</v>
      </c>
      <c r="J460" t="str">
        <f t="shared" si="23"/>
        <v>Q1</v>
      </c>
      <c r="K460" t="str">
        <f>TEXT(checking_account_main[[#This Row],[Date]],"mmm-yyyy")</f>
        <v>Jan-2023</v>
      </c>
      <c r="L460">
        <f>_xlfn.XLOOKUP(checking_account_main[[#This Row],[Month_Year]],checking_account_main[Month_Year],checking_account_main[Balance],"",0,-1)</f>
        <v>311246</v>
      </c>
    </row>
    <row r="461" spans="1:12" x14ac:dyDescent="0.3">
      <c r="A461" s="1">
        <v>44942</v>
      </c>
      <c r="B461" t="s">
        <v>477</v>
      </c>
      <c r="C461" t="s">
        <v>8</v>
      </c>
      <c r="D461" t="s">
        <v>9</v>
      </c>
      <c r="E461" t="s">
        <v>10</v>
      </c>
      <c r="F461" s="3">
        <v>837</v>
      </c>
      <c r="G461">
        <v>298162</v>
      </c>
      <c r="H461">
        <f t="shared" si="21"/>
        <v>2023</v>
      </c>
      <c r="I461" t="str">
        <f t="shared" si="22"/>
        <v>January</v>
      </c>
      <c r="J461" t="str">
        <f t="shared" si="23"/>
        <v>Q1</v>
      </c>
      <c r="K461" t="str">
        <f>TEXT(checking_account_main[[#This Row],[Date]],"mmm-yyyy")</f>
        <v>Jan-2023</v>
      </c>
      <c r="L461">
        <f>_xlfn.XLOOKUP(checking_account_main[[#This Row],[Month_Year]],checking_account_main[Month_Year],checking_account_main[Balance],"",0,-1)</f>
        <v>311246</v>
      </c>
    </row>
    <row r="462" spans="1:12" x14ac:dyDescent="0.3">
      <c r="A462" s="1">
        <v>44943</v>
      </c>
      <c r="B462" t="s">
        <v>478</v>
      </c>
      <c r="C462" t="s">
        <v>8</v>
      </c>
      <c r="D462" t="s">
        <v>9</v>
      </c>
      <c r="E462" t="s">
        <v>10</v>
      </c>
      <c r="F462" s="3">
        <v>712</v>
      </c>
      <c r="G462">
        <v>298874</v>
      </c>
      <c r="H462">
        <f t="shared" si="21"/>
        <v>2023</v>
      </c>
      <c r="I462" t="str">
        <f t="shared" si="22"/>
        <v>January</v>
      </c>
      <c r="J462" t="str">
        <f t="shared" si="23"/>
        <v>Q1</v>
      </c>
      <c r="K462" t="str">
        <f>TEXT(checking_account_main[[#This Row],[Date]],"mmm-yyyy")</f>
        <v>Jan-2023</v>
      </c>
      <c r="L462">
        <f>_xlfn.XLOOKUP(checking_account_main[[#This Row],[Month_Year]],checking_account_main[Month_Year],checking_account_main[Balance],"",0,-1)</f>
        <v>311246</v>
      </c>
    </row>
    <row r="463" spans="1:12" x14ac:dyDescent="0.3">
      <c r="A463" s="1">
        <v>44944</v>
      </c>
      <c r="B463" t="s">
        <v>479</v>
      </c>
      <c r="C463" t="s">
        <v>8</v>
      </c>
      <c r="D463" t="s">
        <v>9</v>
      </c>
      <c r="E463" t="s">
        <v>10</v>
      </c>
      <c r="F463" s="3">
        <v>783</v>
      </c>
      <c r="G463">
        <v>299657</v>
      </c>
      <c r="H463">
        <f t="shared" si="21"/>
        <v>2023</v>
      </c>
      <c r="I463" t="str">
        <f t="shared" si="22"/>
        <v>January</v>
      </c>
      <c r="J463" t="str">
        <f t="shared" si="23"/>
        <v>Q1</v>
      </c>
      <c r="K463" t="str">
        <f>TEXT(checking_account_main[[#This Row],[Date]],"mmm-yyyy")</f>
        <v>Jan-2023</v>
      </c>
      <c r="L463">
        <f>_xlfn.XLOOKUP(checking_account_main[[#This Row],[Month_Year]],checking_account_main[Month_Year],checking_account_main[Balance],"",0,-1)</f>
        <v>311246</v>
      </c>
    </row>
    <row r="464" spans="1:12" x14ac:dyDescent="0.3">
      <c r="A464" s="1">
        <v>44945</v>
      </c>
      <c r="B464" t="s">
        <v>480</v>
      </c>
      <c r="C464" t="s">
        <v>8</v>
      </c>
      <c r="D464" t="s">
        <v>9</v>
      </c>
      <c r="E464" t="s">
        <v>10</v>
      </c>
      <c r="F464" s="3">
        <v>800</v>
      </c>
      <c r="G464">
        <v>300457</v>
      </c>
      <c r="H464">
        <f t="shared" si="21"/>
        <v>2023</v>
      </c>
      <c r="I464" t="str">
        <f t="shared" si="22"/>
        <v>January</v>
      </c>
      <c r="J464" t="str">
        <f t="shared" si="23"/>
        <v>Q1</v>
      </c>
      <c r="K464" t="str">
        <f>TEXT(checking_account_main[[#This Row],[Date]],"mmm-yyyy")</f>
        <v>Jan-2023</v>
      </c>
      <c r="L464">
        <f>_xlfn.XLOOKUP(checking_account_main[[#This Row],[Month_Year]],checking_account_main[Month_Year],checking_account_main[Balance],"",0,-1)</f>
        <v>311246</v>
      </c>
    </row>
    <row r="465" spans="1:12" x14ac:dyDescent="0.3">
      <c r="A465" s="1">
        <v>44945</v>
      </c>
      <c r="B465" t="s">
        <v>481</v>
      </c>
      <c r="C465" t="s">
        <v>15</v>
      </c>
      <c r="D465" t="s">
        <v>16</v>
      </c>
      <c r="E465" t="s">
        <v>17</v>
      </c>
      <c r="F465" s="3">
        <v>364</v>
      </c>
      <c r="G465">
        <v>300093</v>
      </c>
      <c r="H465">
        <f t="shared" si="21"/>
        <v>2023</v>
      </c>
      <c r="I465" t="str">
        <f t="shared" si="22"/>
        <v>January</v>
      </c>
      <c r="J465" t="str">
        <f t="shared" si="23"/>
        <v>Q1</v>
      </c>
      <c r="K465" t="str">
        <f>TEXT(checking_account_main[[#This Row],[Date]],"mmm-yyyy")</f>
        <v>Jan-2023</v>
      </c>
      <c r="L465">
        <f>_xlfn.XLOOKUP(checking_account_main[[#This Row],[Month_Year]],checking_account_main[Month_Year],checking_account_main[Balance],"",0,-1)</f>
        <v>311246</v>
      </c>
    </row>
    <row r="466" spans="1:12" x14ac:dyDescent="0.3">
      <c r="A466" s="1">
        <v>44946</v>
      </c>
      <c r="B466" t="s">
        <v>482</v>
      </c>
      <c r="C466" t="s">
        <v>8</v>
      </c>
      <c r="D466" t="s">
        <v>9</v>
      </c>
      <c r="E466" t="s">
        <v>10</v>
      </c>
      <c r="F466" s="3">
        <v>1098</v>
      </c>
      <c r="G466">
        <v>301191</v>
      </c>
      <c r="H466">
        <f t="shared" si="21"/>
        <v>2023</v>
      </c>
      <c r="I466" t="str">
        <f t="shared" si="22"/>
        <v>January</v>
      </c>
      <c r="J466" t="str">
        <f t="shared" si="23"/>
        <v>Q1</v>
      </c>
      <c r="K466" t="str">
        <f>TEXT(checking_account_main[[#This Row],[Date]],"mmm-yyyy")</f>
        <v>Jan-2023</v>
      </c>
      <c r="L466">
        <f>_xlfn.XLOOKUP(checking_account_main[[#This Row],[Month_Year]],checking_account_main[Month_Year],checking_account_main[Balance],"",0,-1)</f>
        <v>311246</v>
      </c>
    </row>
    <row r="467" spans="1:12" x14ac:dyDescent="0.3">
      <c r="A467" s="1">
        <v>44947</v>
      </c>
      <c r="B467" t="s">
        <v>483</v>
      </c>
      <c r="C467" t="s">
        <v>8</v>
      </c>
      <c r="D467" t="s">
        <v>9</v>
      </c>
      <c r="E467" t="s">
        <v>10</v>
      </c>
      <c r="F467" s="3">
        <v>1118</v>
      </c>
      <c r="G467">
        <v>302309</v>
      </c>
      <c r="H467">
        <f t="shared" si="21"/>
        <v>2023</v>
      </c>
      <c r="I467" t="str">
        <f t="shared" si="22"/>
        <v>January</v>
      </c>
      <c r="J467" t="str">
        <f t="shared" si="23"/>
        <v>Q1</v>
      </c>
      <c r="K467" t="str">
        <f>TEXT(checking_account_main[[#This Row],[Date]],"mmm-yyyy")</f>
        <v>Jan-2023</v>
      </c>
      <c r="L467">
        <f>_xlfn.XLOOKUP(checking_account_main[[#This Row],[Month_Year]],checking_account_main[Month_Year],checking_account_main[Balance],"",0,-1)</f>
        <v>311246</v>
      </c>
    </row>
    <row r="468" spans="1:12" x14ac:dyDescent="0.3">
      <c r="A468" s="1">
        <v>44948</v>
      </c>
      <c r="B468" t="s">
        <v>484</v>
      </c>
      <c r="C468" t="s">
        <v>8</v>
      </c>
      <c r="D468" t="s">
        <v>9</v>
      </c>
      <c r="E468" t="s">
        <v>10</v>
      </c>
      <c r="F468" s="3">
        <v>1004</v>
      </c>
      <c r="G468">
        <v>303313</v>
      </c>
      <c r="H468">
        <f t="shared" si="21"/>
        <v>2023</v>
      </c>
      <c r="I468" t="str">
        <f t="shared" si="22"/>
        <v>January</v>
      </c>
      <c r="J468" t="str">
        <f t="shared" si="23"/>
        <v>Q1</v>
      </c>
      <c r="K468" t="str">
        <f>TEXT(checking_account_main[[#This Row],[Date]],"mmm-yyyy")</f>
        <v>Jan-2023</v>
      </c>
      <c r="L468">
        <f>_xlfn.XLOOKUP(checking_account_main[[#This Row],[Month_Year]],checking_account_main[Month_Year],checking_account_main[Balance],"",0,-1)</f>
        <v>311246</v>
      </c>
    </row>
    <row r="469" spans="1:12" x14ac:dyDescent="0.3">
      <c r="A469" s="1">
        <v>44949</v>
      </c>
      <c r="B469" t="s">
        <v>485</v>
      </c>
      <c r="C469" t="s">
        <v>8</v>
      </c>
      <c r="D469" t="s">
        <v>9</v>
      </c>
      <c r="E469" t="s">
        <v>10</v>
      </c>
      <c r="F469" s="3">
        <v>1143</v>
      </c>
      <c r="G469">
        <v>304456</v>
      </c>
      <c r="H469">
        <f t="shared" si="21"/>
        <v>2023</v>
      </c>
      <c r="I469" t="str">
        <f t="shared" si="22"/>
        <v>January</v>
      </c>
      <c r="J469" t="str">
        <f t="shared" si="23"/>
        <v>Q1</v>
      </c>
      <c r="K469" t="str">
        <f>TEXT(checking_account_main[[#This Row],[Date]],"mmm-yyyy")</f>
        <v>Jan-2023</v>
      </c>
      <c r="L469">
        <f>_xlfn.XLOOKUP(checking_account_main[[#This Row],[Month_Year]],checking_account_main[Month_Year],checking_account_main[Balance],"",0,-1)</f>
        <v>311246</v>
      </c>
    </row>
    <row r="470" spans="1:12" x14ac:dyDescent="0.3">
      <c r="A470" s="1">
        <v>44950</v>
      </c>
      <c r="B470" t="s">
        <v>486</v>
      </c>
      <c r="C470" t="s">
        <v>8</v>
      </c>
      <c r="D470" t="s">
        <v>9</v>
      </c>
      <c r="E470" t="s">
        <v>10</v>
      </c>
      <c r="F470" s="3">
        <v>1033</v>
      </c>
      <c r="G470">
        <v>305489</v>
      </c>
      <c r="H470">
        <f t="shared" si="21"/>
        <v>2023</v>
      </c>
      <c r="I470" t="str">
        <f t="shared" si="22"/>
        <v>January</v>
      </c>
      <c r="J470" t="str">
        <f t="shared" si="23"/>
        <v>Q1</v>
      </c>
      <c r="K470" t="str">
        <f>TEXT(checking_account_main[[#This Row],[Date]],"mmm-yyyy")</f>
        <v>Jan-2023</v>
      </c>
      <c r="L470">
        <f>_xlfn.XLOOKUP(checking_account_main[[#This Row],[Month_Year]],checking_account_main[Month_Year],checking_account_main[Balance],"",0,-1)</f>
        <v>311246</v>
      </c>
    </row>
    <row r="471" spans="1:12" x14ac:dyDescent="0.3">
      <c r="A471" s="1">
        <v>44951</v>
      </c>
      <c r="B471" t="s">
        <v>487</v>
      </c>
      <c r="C471" t="s">
        <v>8</v>
      </c>
      <c r="D471" t="s">
        <v>9</v>
      </c>
      <c r="E471" t="s">
        <v>10</v>
      </c>
      <c r="F471" s="3">
        <v>1158</v>
      </c>
      <c r="G471">
        <v>306647</v>
      </c>
      <c r="H471">
        <f t="shared" si="21"/>
        <v>2023</v>
      </c>
      <c r="I471" t="str">
        <f t="shared" si="22"/>
        <v>January</v>
      </c>
      <c r="J471" t="str">
        <f t="shared" si="23"/>
        <v>Q1</v>
      </c>
      <c r="K471" t="str">
        <f>TEXT(checking_account_main[[#This Row],[Date]],"mmm-yyyy")</f>
        <v>Jan-2023</v>
      </c>
      <c r="L471">
        <f>_xlfn.XLOOKUP(checking_account_main[[#This Row],[Month_Year]],checking_account_main[Month_Year],checking_account_main[Balance],"",0,-1)</f>
        <v>311246</v>
      </c>
    </row>
    <row r="472" spans="1:12" x14ac:dyDescent="0.3">
      <c r="A472" s="1">
        <v>44952</v>
      </c>
      <c r="B472" t="s">
        <v>488</v>
      </c>
      <c r="C472" t="s">
        <v>8</v>
      </c>
      <c r="D472" t="s">
        <v>9</v>
      </c>
      <c r="E472" t="s">
        <v>10</v>
      </c>
      <c r="F472" s="3">
        <v>775</v>
      </c>
      <c r="G472">
        <v>307422</v>
      </c>
      <c r="H472">
        <f t="shared" si="21"/>
        <v>2023</v>
      </c>
      <c r="I472" t="str">
        <f t="shared" si="22"/>
        <v>January</v>
      </c>
      <c r="J472" t="str">
        <f t="shared" si="23"/>
        <v>Q1</v>
      </c>
      <c r="K472" t="str">
        <f>TEXT(checking_account_main[[#This Row],[Date]],"mmm-yyyy")</f>
        <v>Jan-2023</v>
      </c>
      <c r="L472">
        <f>_xlfn.XLOOKUP(checking_account_main[[#This Row],[Month_Year]],checking_account_main[Month_Year],checking_account_main[Balance],"",0,-1)</f>
        <v>311246</v>
      </c>
    </row>
    <row r="473" spans="1:12" x14ac:dyDescent="0.3">
      <c r="A473" s="1">
        <v>44953</v>
      </c>
      <c r="B473" t="s">
        <v>489</v>
      </c>
      <c r="C473" t="s">
        <v>8</v>
      </c>
      <c r="D473" t="s">
        <v>9</v>
      </c>
      <c r="E473" t="s">
        <v>10</v>
      </c>
      <c r="F473" s="3">
        <v>700</v>
      </c>
      <c r="G473">
        <v>308122</v>
      </c>
      <c r="H473">
        <f t="shared" si="21"/>
        <v>2023</v>
      </c>
      <c r="I473" t="str">
        <f t="shared" si="22"/>
        <v>January</v>
      </c>
      <c r="J473" t="str">
        <f t="shared" si="23"/>
        <v>Q1</v>
      </c>
      <c r="K473" t="str">
        <f>TEXT(checking_account_main[[#This Row],[Date]],"mmm-yyyy")</f>
        <v>Jan-2023</v>
      </c>
      <c r="L473">
        <f>_xlfn.XLOOKUP(checking_account_main[[#This Row],[Month_Year]],checking_account_main[Month_Year],checking_account_main[Balance],"",0,-1)</f>
        <v>311246</v>
      </c>
    </row>
    <row r="474" spans="1:12" x14ac:dyDescent="0.3">
      <c r="A474" s="1">
        <v>44954</v>
      </c>
      <c r="B474" t="s">
        <v>490</v>
      </c>
      <c r="C474" t="s">
        <v>8</v>
      </c>
      <c r="D474" t="s">
        <v>9</v>
      </c>
      <c r="E474" t="s">
        <v>10</v>
      </c>
      <c r="F474" s="3">
        <v>1105</v>
      </c>
      <c r="G474">
        <v>309227</v>
      </c>
      <c r="H474">
        <f t="shared" si="21"/>
        <v>2023</v>
      </c>
      <c r="I474" t="str">
        <f t="shared" si="22"/>
        <v>January</v>
      </c>
      <c r="J474" t="str">
        <f t="shared" si="23"/>
        <v>Q1</v>
      </c>
      <c r="K474" t="str">
        <f>TEXT(checking_account_main[[#This Row],[Date]],"mmm-yyyy")</f>
        <v>Jan-2023</v>
      </c>
      <c r="L474">
        <f>_xlfn.XLOOKUP(checking_account_main[[#This Row],[Month_Year]],checking_account_main[Month_Year],checking_account_main[Balance],"",0,-1)</f>
        <v>311246</v>
      </c>
    </row>
    <row r="475" spans="1:12" x14ac:dyDescent="0.3">
      <c r="A475" s="1">
        <v>44954</v>
      </c>
      <c r="B475" t="s">
        <v>491</v>
      </c>
      <c r="C475" t="s">
        <v>15</v>
      </c>
      <c r="D475" t="s">
        <v>16</v>
      </c>
      <c r="E475" t="s">
        <v>17</v>
      </c>
      <c r="F475" s="3">
        <v>448</v>
      </c>
      <c r="G475">
        <v>308779</v>
      </c>
      <c r="H475">
        <f t="shared" si="21"/>
        <v>2023</v>
      </c>
      <c r="I475" t="str">
        <f t="shared" si="22"/>
        <v>January</v>
      </c>
      <c r="J475" t="str">
        <f t="shared" si="23"/>
        <v>Q1</v>
      </c>
      <c r="K475" t="str">
        <f>TEXT(checking_account_main[[#This Row],[Date]],"mmm-yyyy")</f>
        <v>Jan-2023</v>
      </c>
      <c r="L475">
        <f>_xlfn.XLOOKUP(checking_account_main[[#This Row],[Month_Year]],checking_account_main[Month_Year],checking_account_main[Balance],"",0,-1)</f>
        <v>311246</v>
      </c>
    </row>
    <row r="476" spans="1:12" x14ac:dyDescent="0.3">
      <c r="A476" s="1">
        <v>44955</v>
      </c>
      <c r="B476" t="s">
        <v>492</v>
      </c>
      <c r="C476" t="s">
        <v>8</v>
      </c>
      <c r="D476" t="s">
        <v>9</v>
      </c>
      <c r="E476" t="s">
        <v>10</v>
      </c>
      <c r="F476" s="3">
        <v>1060</v>
      </c>
      <c r="G476">
        <v>309839</v>
      </c>
      <c r="H476">
        <f t="shared" si="21"/>
        <v>2023</v>
      </c>
      <c r="I476" t="str">
        <f t="shared" si="22"/>
        <v>January</v>
      </c>
      <c r="J476" t="str">
        <f t="shared" si="23"/>
        <v>Q1</v>
      </c>
      <c r="K476" t="str">
        <f>TEXT(checking_account_main[[#This Row],[Date]],"mmm-yyyy")</f>
        <v>Jan-2023</v>
      </c>
      <c r="L476">
        <f>_xlfn.XLOOKUP(checking_account_main[[#This Row],[Month_Year]],checking_account_main[Month_Year],checking_account_main[Balance],"",0,-1)</f>
        <v>311246</v>
      </c>
    </row>
    <row r="477" spans="1:12" x14ac:dyDescent="0.3">
      <c r="A477" s="1">
        <v>44956</v>
      </c>
      <c r="B477" t="s">
        <v>493</v>
      </c>
      <c r="C477" t="s">
        <v>8</v>
      </c>
      <c r="D477" t="s">
        <v>9</v>
      </c>
      <c r="E477" t="s">
        <v>10</v>
      </c>
      <c r="F477" s="3">
        <v>1015</v>
      </c>
      <c r="G477">
        <v>310854</v>
      </c>
      <c r="H477">
        <f t="shared" si="21"/>
        <v>2023</v>
      </c>
      <c r="I477" t="str">
        <f t="shared" si="22"/>
        <v>January</v>
      </c>
      <c r="J477" t="str">
        <f t="shared" si="23"/>
        <v>Q1</v>
      </c>
      <c r="K477" t="str">
        <f>TEXT(checking_account_main[[#This Row],[Date]],"mmm-yyyy")</f>
        <v>Jan-2023</v>
      </c>
      <c r="L477">
        <f>_xlfn.XLOOKUP(checking_account_main[[#This Row],[Month_Year]],checking_account_main[Month_Year],checking_account_main[Balance],"",0,-1)</f>
        <v>311246</v>
      </c>
    </row>
    <row r="478" spans="1:12" x14ac:dyDescent="0.3">
      <c r="A478" s="1">
        <v>44956</v>
      </c>
      <c r="B478" t="s">
        <v>494</v>
      </c>
      <c r="C478" t="s">
        <v>74</v>
      </c>
      <c r="D478" t="s">
        <v>16</v>
      </c>
      <c r="E478" t="s">
        <v>17</v>
      </c>
      <c r="F478" s="3">
        <v>312</v>
      </c>
      <c r="G478">
        <v>310542</v>
      </c>
      <c r="H478">
        <f t="shared" si="21"/>
        <v>2023</v>
      </c>
      <c r="I478" t="str">
        <f t="shared" si="22"/>
        <v>January</v>
      </c>
      <c r="J478" t="str">
        <f t="shared" si="23"/>
        <v>Q1</v>
      </c>
      <c r="K478" t="str">
        <f>TEXT(checking_account_main[[#This Row],[Date]],"mmm-yyyy")</f>
        <v>Jan-2023</v>
      </c>
      <c r="L478">
        <f>_xlfn.XLOOKUP(checking_account_main[[#This Row],[Month_Year]],checking_account_main[Month_Year],checking_account_main[Balance],"",0,-1)</f>
        <v>311246</v>
      </c>
    </row>
    <row r="479" spans="1:12" x14ac:dyDescent="0.3">
      <c r="A479" s="1">
        <v>44957</v>
      </c>
      <c r="B479" t="s">
        <v>495</v>
      </c>
      <c r="C479" t="s">
        <v>8</v>
      </c>
      <c r="D479" t="s">
        <v>9</v>
      </c>
      <c r="E479" t="s">
        <v>10</v>
      </c>
      <c r="F479" s="3">
        <v>704</v>
      </c>
      <c r="G479">
        <v>311246</v>
      </c>
      <c r="H479">
        <f t="shared" si="21"/>
        <v>2023</v>
      </c>
      <c r="I479" t="str">
        <f t="shared" si="22"/>
        <v>January</v>
      </c>
      <c r="J479" t="str">
        <f t="shared" si="23"/>
        <v>Q1</v>
      </c>
      <c r="K479" t="str">
        <f>TEXT(checking_account_main[[#This Row],[Date]],"mmm-yyyy")</f>
        <v>Jan-2023</v>
      </c>
      <c r="L479">
        <f>_xlfn.XLOOKUP(checking_account_main[[#This Row],[Month_Year]],checking_account_main[Month_Year],checking_account_main[Balance],"",0,-1)</f>
        <v>311246</v>
      </c>
    </row>
    <row r="480" spans="1:12" x14ac:dyDescent="0.3">
      <c r="A480" s="1">
        <v>44958</v>
      </c>
      <c r="B480" t="s">
        <v>496</v>
      </c>
      <c r="C480" t="s">
        <v>8</v>
      </c>
      <c r="D480" t="s">
        <v>9</v>
      </c>
      <c r="E480" t="s">
        <v>10</v>
      </c>
      <c r="F480" s="3">
        <v>777</v>
      </c>
      <c r="G480">
        <v>312023</v>
      </c>
      <c r="H480">
        <f t="shared" si="21"/>
        <v>2023</v>
      </c>
      <c r="I480" t="str">
        <f t="shared" si="22"/>
        <v>February</v>
      </c>
      <c r="J480" t="str">
        <f t="shared" si="23"/>
        <v>Q1</v>
      </c>
      <c r="K480" t="str">
        <f>TEXT(checking_account_main[[#This Row],[Date]],"mmm-yyyy")</f>
        <v>Feb-2023</v>
      </c>
      <c r="L480">
        <f>_xlfn.XLOOKUP(checking_account_main[[#This Row],[Month_Year]],checking_account_main[Month_Year],checking_account_main[Balance],"",0,-1)</f>
        <v>335708</v>
      </c>
    </row>
    <row r="481" spans="1:12" x14ac:dyDescent="0.3">
      <c r="A481" s="1">
        <v>44959</v>
      </c>
      <c r="B481" t="s">
        <v>497</v>
      </c>
      <c r="C481" t="s">
        <v>8</v>
      </c>
      <c r="D481" t="s">
        <v>9</v>
      </c>
      <c r="E481" t="s">
        <v>10</v>
      </c>
      <c r="F481" s="3">
        <v>831</v>
      </c>
      <c r="G481">
        <v>312854</v>
      </c>
      <c r="H481">
        <f t="shared" si="21"/>
        <v>2023</v>
      </c>
      <c r="I481" t="str">
        <f t="shared" si="22"/>
        <v>February</v>
      </c>
      <c r="J481" t="str">
        <f t="shared" si="23"/>
        <v>Q1</v>
      </c>
      <c r="K481" t="str">
        <f>TEXT(checking_account_main[[#This Row],[Date]],"mmm-yyyy")</f>
        <v>Feb-2023</v>
      </c>
      <c r="L481">
        <f>_xlfn.XLOOKUP(checking_account_main[[#This Row],[Month_Year]],checking_account_main[Month_Year],checking_account_main[Balance],"",0,-1)</f>
        <v>335708</v>
      </c>
    </row>
    <row r="482" spans="1:12" x14ac:dyDescent="0.3">
      <c r="A482" s="1">
        <v>44960</v>
      </c>
      <c r="B482" t="s">
        <v>498</v>
      </c>
      <c r="C482" t="s">
        <v>8</v>
      </c>
      <c r="D482" t="s">
        <v>9</v>
      </c>
      <c r="E482" t="s">
        <v>10</v>
      </c>
      <c r="F482" s="3">
        <v>741</v>
      </c>
      <c r="G482">
        <v>313595</v>
      </c>
      <c r="H482">
        <f t="shared" si="21"/>
        <v>2023</v>
      </c>
      <c r="I482" t="str">
        <f t="shared" si="22"/>
        <v>February</v>
      </c>
      <c r="J482" t="str">
        <f t="shared" si="23"/>
        <v>Q1</v>
      </c>
      <c r="K482" t="str">
        <f>TEXT(checking_account_main[[#This Row],[Date]],"mmm-yyyy")</f>
        <v>Feb-2023</v>
      </c>
      <c r="L482">
        <f>_xlfn.XLOOKUP(checking_account_main[[#This Row],[Month_Year]],checking_account_main[Month_Year],checking_account_main[Balance],"",0,-1)</f>
        <v>335708</v>
      </c>
    </row>
    <row r="483" spans="1:12" x14ac:dyDescent="0.3">
      <c r="A483" s="1">
        <v>44961</v>
      </c>
      <c r="B483" t="s">
        <v>499</v>
      </c>
      <c r="C483" t="s">
        <v>8</v>
      </c>
      <c r="D483" t="s">
        <v>9</v>
      </c>
      <c r="E483" t="s">
        <v>10</v>
      </c>
      <c r="F483" s="3">
        <v>995</v>
      </c>
      <c r="G483">
        <v>314590</v>
      </c>
      <c r="H483">
        <f t="shared" si="21"/>
        <v>2023</v>
      </c>
      <c r="I483" t="str">
        <f t="shared" si="22"/>
        <v>February</v>
      </c>
      <c r="J483" t="str">
        <f t="shared" si="23"/>
        <v>Q1</v>
      </c>
      <c r="K483" t="str">
        <f>TEXT(checking_account_main[[#This Row],[Date]],"mmm-yyyy")</f>
        <v>Feb-2023</v>
      </c>
      <c r="L483">
        <f>_xlfn.XLOOKUP(checking_account_main[[#This Row],[Month_Year]],checking_account_main[Month_Year],checking_account_main[Balance],"",0,-1)</f>
        <v>335708</v>
      </c>
    </row>
    <row r="484" spans="1:12" x14ac:dyDescent="0.3">
      <c r="A484" s="1">
        <v>44962</v>
      </c>
      <c r="B484" t="s">
        <v>500</v>
      </c>
      <c r="C484" t="s">
        <v>8</v>
      </c>
      <c r="D484" t="s">
        <v>9</v>
      </c>
      <c r="E484" t="s">
        <v>10</v>
      </c>
      <c r="F484" s="3">
        <v>803</v>
      </c>
      <c r="G484">
        <v>315393</v>
      </c>
      <c r="H484">
        <f t="shared" si="21"/>
        <v>2023</v>
      </c>
      <c r="I484" t="str">
        <f t="shared" si="22"/>
        <v>February</v>
      </c>
      <c r="J484" t="str">
        <f t="shared" si="23"/>
        <v>Q1</v>
      </c>
      <c r="K484" t="str">
        <f>TEXT(checking_account_main[[#This Row],[Date]],"mmm-yyyy")</f>
        <v>Feb-2023</v>
      </c>
      <c r="L484">
        <f>_xlfn.XLOOKUP(checking_account_main[[#This Row],[Month_Year]],checking_account_main[Month_Year],checking_account_main[Balance],"",0,-1)</f>
        <v>335708</v>
      </c>
    </row>
    <row r="485" spans="1:12" x14ac:dyDescent="0.3">
      <c r="A485" s="1">
        <v>44963</v>
      </c>
      <c r="B485" t="s">
        <v>501</v>
      </c>
      <c r="C485" t="s">
        <v>8</v>
      </c>
      <c r="D485" t="s">
        <v>9</v>
      </c>
      <c r="E485" t="s">
        <v>10</v>
      </c>
      <c r="F485" s="3">
        <v>878</v>
      </c>
      <c r="G485">
        <v>316271</v>
      </c>
      <c r="H485">
        <f t="shared" si="21"/>
        <v>2023</v>
      </c>
      <c r="I485" t="str">
        <f t="shared" si="22"/>
        <v>February</v>
      </c>
      <c r="J485" t="str">
        <f t="shared" si="23"/>
        <v>Q1</v>
      </c>
      <c r="K485" t="str">
        <f>TEXT(checking_account_main[[#This Row],[Date]],"mmm-yyyy")</f>
        <v>Feb-2023</v>
      </c>
      <c r="L485">
        <f>_xlfn.XLOOKUP(checking_account_main[[#This Row],[Month_Year]],checking_account_main[Month_Year],checking_account_main[Balance],"",0,-1)</f>
        <v>335708</v>
      </c>
    </row>
    <row r="486" spans="1:12" x14ac:dyDescent="0.3">
      <c r="A486" s="1">
        <v>44964</v>
      </c>
      <c r="B486" t="s">
        <v>502</v>
      </c>
      <c r="C486" t="s">
        <v>8</v>
      </c>
      <c r="D486" t="s">
        <v>9</v>
      </c>
      <c r="E486" t="s">
        <v>10</v>
      </c>
      <c r="F486" s="3">
        <v>1052</v>
      </c>
      <c r="G486">
        <v>317323</v>
      </c>
      <c r="H486">
        <f t="shared" si="21"/>
        <v>2023</v>
      </c>
      <c r="I486" t="str">
        <f t="shared" si="22"/>
        <v>February</v>
      </c>
      <c r="J486" t="str">
        <f t="shared" si="23"/>
        <v>Q1</v>
      </c>
      <c r="K486" t="str">
        <f>TEXT(checking_account_main[[#This Row],[Date]],"mmm-yyyy")</f>
        <v>Feb-2023</v>
      </c>
      <c r="L486">
        <f>_xlfn.XLOOKUP(checking_account_main[[#This Row],[Month_Year]],checking_account_main[Month_Year],checking_account_main[Balance],"",0,-1)</f>
        <v>335708</v>
      </c>
    </row>
    <row r="487" spans="1:12" x14ac:dyDescent="0.3">
      <c r="A487" s="1">
        <v>44965</v>
      </c>
      <c r="B487" t="s">
        <v>503</v>
      </c>
      <c r="C487" t="s">
        <v>8</v>
      </c>
      <c r="D487" t="s">
        <v>9</v>
      </c>
      <c r="E487" t="s">
        <v>10</v>
      </c>
      <c r="F487" s="3">
        <v>842</v>
      </c>
      <c r="G487">
        <v>318165</v>
      </c>
      <c r="H487">
        <f t="shared" si="21"/>
        <v>2023</v>
      </c>
      <c r="I487" t="str">
        <f t="shared" si="22"/>
        <v>February</v>
      </c>
      <c r="J487" t="str">
        <f t="shared" si="23"/>
        <v>Q1</v>
      </c>
      <c r="K487" t="str">
        <f>TEXT(checking_account_main[[#This Row],[Date]],"mmm-yyyy")</f>
        <v>Feb-2023</v>
      </c>
      <c r="L487">
        <f>_xlfn.XLOOKUP(checking_account_main[[#This Row],[Month_Year]],checking_account_main[Month_Year],checking_account_main[Balance],"",0,-1)</f>
        <v>335708</v>
      </c>
    </row>
    <row r="488" spans="1:12" x14ac:dyDescent="0.3">
      <c r="A488" s="1">
        <v>44966</v>
      </c>
      <c r="B488" t="s">
        <v>504</v>
      </c>
      <c r="C488" t="s">
        <v>8</v>
      </c>
      <c r="D488" t="s">
        <v>9</v>
      </c>
      <c r="E488" t="s">
        <v>10</v>
      </c>
      <c r="F488" s="3">
        <v>844</v>
      </c>
      <c r="G488">
        <v>319009</v>
      </c>
      <c r="H488">
        <f t="shared" si="21"/>
        <v>2023</v>
      </c>
      <c r="I488" t="str">
        <f t="shared" si="22"/>
        <v>February</v>
      </c>
      <c r="J488" t="str">
        <f t="shared" si="23"/>
        <v>Q1</v>
      </c>
      <c r="K488" t="str">
        <f>TEXT(checking_account_main[[#This Row],[Date]],"mmm-yyyy")</f>
        <v>Feb-2023</v>
      </c>
      <c r="L488">
        <f>_xlfn.XLOOKUP(checking_account_main[[#This Row],[Month_Year]],checking_account_main[Month_Year],checking_account_main[Balance],"",0,-1)</f>
        <v>335708</v>
      </c>
    </row>
    <row r="489" spans="1:12" x14ac:dyDescent="0.3">
      <c r="A489" s="1">
        <v>44967</v>
      </c>
      <c r="B489" t="s">
        <v>505</v>
      </c>
      <c r="C489" t="s">
        <v>8</v>
      </c>
      <c r="D489" t="s">
        <v>9</v>
      </c>
      <c r="E489" t="s">
        <v>10</v>
      </c>
      <c r="F489" s="3">
        <v>1149</v>
      </c>
      <c r="G489">
        <v>320158</v>
      </c>
      <c r="H489">
        <f t="shared" si="21"/>
        <v>2023</v>
      </c>
      <c r="I489" t="str">
        <f t="shared" si="22"/>
        <v>February</v>
      </c>
      <c r="J489" t="str">
        <f t="shared" si="23"/>
        <v>Q1</v>
      </c>
      <c r="K489" t="str">
        <f>TEXT(checking_account_main[[#This Row],[Date]],"mmm-yyyy")</f>
        <v>Feb-2023</v>
      </c>
      <c r="L489">
        <f>_xlfn.XLOOKUP(checking_account_main[[#This Row],[Month_Year]],checking_account_main[Month_Year],checking_account_main[Balance],"",0,-1)</f>
        <v>335708</v>
      </c>
    </row>
    <row r="490" spans="1:12" x14ac:dyDescent="0.3">
      <c r="A490" s="1">
        <v>44968</v>
      </c>
      <c r="B490" t="s">
        <v>506</v>
      </c>
      <c r="C490" t="s">
        <v>8</v>
      </c>
      <c r="D490" t="s">
        <v>9</v>
      </c>
      <c r="E490" t="s">
        <v>10</v>
      </c>
      <c r="F490" s="3">
        <v>803</v>
      </c>
      <c r="G490">
        <v>320961</v>
      </c>
      <c r="H490">
        <f t="shared" si="21"/>
        <v>2023</v>
      </c>
      <c r="I490" t="str">
        <f t="shared" si="22"/>
        <v>February</v>
      </c>
      <c r="J490" t="str">
        <f t="shared" si="23"/>
        <v>Q1</v>
      </c>
      <c r="K490" t="str">
        <f>TEXT(checking_account_main[[#This Row],[Date]],"mmm-yyyy")</f>
        <v>Feb-2023</v>
      </c>
      <c r="L490">
        <f>_xlfn.XLOOKUP(checking_account_main[[#This Row],[Month_Year]],checking_account_main[Month_Year],checking_account_main[Balance],"",0,-1)</f>
        <v>335708</v>
      </c>
    </row>
    <row r="491" spans="1:12" x14ac:dyDescent="0.3">
      <c r="A491" s="1">
        <v>44969</v>
      </c>
      <c r="B491" t="s">
        <v>507</v>
      </c>
      <c r="C491" t="s">
        <v>8</v>
      </c>
      <c r="D491" t="s">
        <v>9</v>
      </c>
      <c r="E491" t="s">
        <v>10</v>
      </c>
      <c r="F491" s="3">
        <v>738</v>
      </c>
      <c r="G491">
        <v>321699</v>
      </c>
      <c r="H491">
        <f t="shared" si="21"/>
        <v>2023</v>
      </c>
      <c r="I491" t="str">
        <f t="shared" si="22"/>
        <v>February</v>
      </c>
      <c r="J491" t="str">
        <f t="shared" si="23"/>
        <v>Q1</v>
      </c>
      <c r="K491" t="str">
        <f>TEXT(checking_account_main[[#This Row],[Date]],"mmm-yyyy")</f>
        <v>Feb-2023</v>
      </c>
      <c r="L491">
        <f>_xlfn.XLOOKUP(checking_account_main[[#This Row],[Month_Year]],checking_account_main[Month_Year],checking_account_main[Balance],"",0,-1)</f>
        <v>335708</v>
      </c>
    </row>
    <row r="492" spans="1:12" x14ac:dyDescent="0.3">
      <c r="A492" s="1">
        <v>44969</v>
      </c>
      <c r="B492" t="s">
        <v>508</v>
      </c>
      <c r="C492" t="s">
        <v>15</v>
      </c>
      <c r="D492" t="s">
        <v>16</v>
      </c>
      <c r="E492" t="s">
        <v>17</v>
      </c>
      <c r="F492" s="3">
        <v>233</v>
      </c>
      <c r="G492">
        <v>321466</v>
      </c>
      <c r="H492">
        <f t="shared" si="21"/>
        <v>2023</v>
      </c>
      <c r="I492" t="str">
        <f t="shared" si="22"/>
        <v>February</v>
      </c>
      <c r="J492" t="str">
        <f t="shared" si="23"/>
        <v>Q1</v>
      </c>
      <c r="K492" t="str">
        <f>TEXT(checking_account_main[[#This Row],[Date]],"mmm-yyyy")</f>
        <v>Feb-2023</v>
      </c>
      <c r="L492">
        <f>_xlfn.XLOOKUP(checking_account_main[[#This Row],[Month_Year]],checking_account_main[Month_Year],checking_account_main[Balance],"",0,-1)</f>
        <v>335708</v>
      </c>
    </row>
    <row r="493" spans="1:12" x14ac:dyDescent="0.3">
      <c r="A493" s="1">
        <v>44970</v>
      </c>
      <c r="B493" t="s">
        <v>509</v>
      </c>
      <c r="C493" t="s">
        <v>8</v>
      </c>
      <c r="D493" t="s">
        <v>9</v>
      </c>
      <c r="E493" t="s">
        <v>10</v>
      </c>
      <c r="F493" s="3">
        <v>1090</v>
      </c>
      <c r="G493">
        <v>322556</v>
      </c>
      <c r="H493">
        <f t="shared" si="21"/>
        <v>2023</v>
      </c>
      <c r="I493" t="str">
        <f t="shared" si="22"/>
        <v>February</v>
      </c>
      <c r="J493" t="str">
        <f t="shared" si="23"/>
        <v>Q1</v>
      </c>
      <c r="K493" t="str">
        <f>TEXT(checking_account_main[[#This Row],[Date]],"mmm-yyyy")</f>
        <v>Feb-2023</v>
      </c>
      <c r="L493">
        <f>_xlfn.XLOOKUP(checking_account_main[[#This Row],[Month_Year]],checking_account_main[Month_Year],checking_account_main[Balance],"",0,-1)</f>
        <v>335708</v>
      </c>
    </row>
    <row r="494" spans="1:12" x14ac:dyDescent="0.3">
      <c r="A494" s="1">
        <v>44971</v>
      </c>
      <c r="B494" t="s">
        <v>510</v>
      </c>
      <c r="C494" t="s">
        <v>8</v>
      </c>
      <c r="D494" t="s">
        <v>9</v>
      </c>
      <c r="E494" t="s">
        <v>10</v>
      </c>
      <c r="F494" s="3">
        <v>741</v>
      </c>
      <c r="G494">
        <v>323297</v>
      </c>
      <c r="H494">
        <f t="shared" si="21"/>
        <v>2023</v>
      </c>
      <c r="I494" t="str">
        <f t="shared" si="22"/>
        <v>February</v>
      </c>
      <c r="J494" t="str">
        <f t="shared" si="23"/>
        <v>Q1</v>
      </c>
      <c r="K494" t="str">
        <f>TEXT(checking_account_main[[#This Row],[Date]],"mmm-yyyy")</f>
        <v>Feb-2023</v>
      </c>
      <c r="L494">
        <f>_xlfn.XLOOKUP(checking_account_main[[#This Row],[Month_Year]],checking_account_main[Month_Year],checking_account_main[Balance],"",0,-1)</f>
        <v>335708</v>
      </c>
    </row>
    <row r="495" spans="1:12" x14ac:dyDescent="0.3">
      <c r="A495" s="1">
        <v>44971</v>
      </c>
      <c r="B495" t="s">
        <v>511</v>
      </c>
      <c r="C495" t="s">
        <v>74</v>
      </c>
      <c r="D495" t="s">
        <v>16</v>
      </c>
      <c r="E495" t="s">
        <v>17</v>
      </c>
      <c r="F495" s="3">
        <v>114</v>
      </c>
      <c r="G495">
        <v>323183</v>
      </c>
      <c r="H495">
        <f t="shared" si="21"/>
        <v>2023</v>
      </c>
      <c r="I495" t="str">
        <f t="shared" si="22"/>
        <v>February</v>
      </c>
      <c r="J495" t="str">
        <f t="shared" si="23"/>
        <v>Q1</v>
      </c>
      <c r="K495" t="str">
        <f>TEXT(checking_account_main[[#This Row],[Date]],"mmm-yyyy")</f>
        <v>Feb-2023</v>
      </c>
      <c r="L495">
        <f>_xlfn.XLOOKUP(checking_account_main[[#This Row],[Month_Year]],checking_account_main[Month_Year],checking_account_main[Balance],"",0,-1)</f>
        <v>335708</v>
      </c>
    </row>
    <row r="496" spans="1:12" x14ac:dyDescent="0.3">
      <c r="A496" s="1">
        <v>44972</v>
      </c>
      <c r="B496" t="s">
        <v>512</v>
      </c>
      <c r="C496" t="s">
        <v>8</v>
      </c>
      <c r="D496" t="s">
        <v>9</v>
      </c>
      <c r="E496" t="s">
        <v>10</v>
      </c>
      <c r="F496" s="3">
        <v>988</v>
      </c>
      <c r="G496">
        <v>324171</v>
      </c>
      <c r="H496">
        <f t="shared" si="21"/>
        <v>2023</v>
      </c>
      <c r="I496" t="str">
        <f t="shared" si="22"/>
        <v>February</v>
      </c>
      <c r="J496" t="str">
        <f t="shared" si="23"/>
        <v>Q1</v>
      </c>
      <c r="K496" t="str">
        <f>TEXT(checking_account_main[[#This Row],[Date]],"mmm-yyyy")</f>
        <v>Feb-2023</v>
      </c>
      <c r="L496">
        <f>_xlfn.XLOOKUP(checking_account_main[[#This Row],[Month_Year]],checking_account_main[Month_Year],checking_account_main[Balance],"",0,-1)</f>
        <v>335708</v>
      </c>
    </row>
    <row r="497" spans="1:12" x14ac:dyDescent="0.3">
      <c r="A497" s="1">
        <v>44973</v>
      </c>
      <c r="B497" t="s">
        <v>513</v>
      </c>
      <c r="C497" t="s">
        <v>8</v>
      </c>
      <c r="D497" t="s">
        <v>9</v>
      </c>
      <c r="E497" t="s">
        <v>10</v>
      </c>
      <c r="F497" s="3">
        <v>930</v>
      </c>
      <c r="G497">
        <v>325101</v>
      </c>
      <c r="H497">
        <f t="shared" si="21"/>
        <v>2023</v>
      </c>
      <c r="I497" t="str">
        <f t="shared" si="22"/>
        <v>February</v>
      </c>
      <c r="J497" t="str">
        <f t="shared" si="23"/>
        <v>Q1</v>
      </c>
      <c r="K497" t="str">
        <f>TEXT(checking_account_main[[#This Row],[Date]],"mmm-yyyy")</f>
        <v>Feb-2023</v>
      </c>
      <c r="L497">
        <f>_xlfn.XLOOKUP(checking_account_main[[#This Row],[Month_Year]],checking_account_main[Month_Year],checking_account_main[Balance],"",0,-1)</f>
        <v>335708</v>
      </c>
    </row>
    <row r="498" spans="1:12" x14ac:dyDescent="0.3">
      <c r="A498" s="1">
        <v>44974</v>
      </c>
      <c r="B498" t="s">
        <v>514</v>
      </c>
      <c r="C498" t="s">
        <v>8</v>
      </c>
      <c r="D498" t="s">
        <v>9</v>
      </c>
      <c r="E498" t="s">
        <v>10</v>
      </c>
      <c r="F498" s="3">
        <v>856</v>
      </c>
      <c r="G498">
        <v>325957</v>
      </c>
      <c r="H498">
        <f t="shared" si="21"/>
        <v>2023</v>
      </c>
      <c r="I498" t="str">
        <f t="shared" si="22"/>
        <v>February</v>
      </c>
      <c r="J498" t="str">
        <f t="shared" si="23"/>
        <v>Q1</v>
      </c>
      <c r="K498" t="str">
        <f>TEXT(checking_account_main[[#This Row],[Date]],"mmm-yyyy")</f>
        <v>Feb-2023</v>
      </c>
      <c r="L498">
        <f>_xlfn.XLOOKUP(checking_account_main[[#This Row],[Month_Year]],checking_account_main[Month_Year],checking_account_main[Balance],"",0,-1)</f>
        <v>335708</v>
      </c>
    </row>
    <row r="499" spans="1:12" x14ac:dyDescent="0.3">
      <c r="A499" s="1">
        <v>44974</v>
      </c>
      <c r="B499" t="s">
        <v>515</v>
      </c>
      <c r="C499" t="s">
        <v>74</v>
      </c>
      <c r="D499" t="s">
        <v>16</v>
      </c>
      <c r="E499" t="s">
        <v>17</v>
      </c>
      <c r="F499" s="3">
        <v>196</v>
      </c>
      <c r="G499">
        <v>325761</v>
      </c>
      <c r="H499">
        <f t="shared" si="21"/>
        <v>2023</v>
      </c>
      <c r="I499" t="str">
        <f t="shared" si="22"/>
        <v>February</v>
      </c>
      <c r="J499" t="str">
        <f t="shared" si="23"/>
        <v>Q1</v>
      </c>
      <c r="K499" t="str">
        <f>TEXT(checking_account_main[[#This Row],[Date]],"mmm-yyyy")</f>
        <v>Feb-2023</v>
      </c>
      <c r="L499">
        <f>_xlfn.XLOOKUP(checking_account_main[[#This Row],[Month_Year]],checking_account_main[Month_Year],checking_account_main[Balance],"",0,-1)</f>
        <v>335708</v>
      </c>
    </row>
    <row r="500" spans="1:12" x14ac:dyDescent="0.3">
      <c r="A500" s="1">
        <v>44975</v>
      </c>
      <c r="B500" t="s">
        <v>516</v>
      </c>
      <c r="C500" t="s">
        <v>8</v>
      </c>
      <c r="D500" t="s">
        <v>9</v>
      </c>
      <c r="E500" t="s">
        <v>10</v>
      </c>
      <c r="F500" s="3">
        <v>1184</v>
      </c>
      <c r="G500">
        <v>326945</v>
      </c>
      <c r="H500">
        <f t="shared" si="21"/>
        <v>2023</v>
      </c>
      <c r="I500" t="str">
        <f t="shared" si="22"/>
        <v>February</v>
      </c>
      <c r="J500" t="str">
        <f t="shared" si="23"/>
        <v>Q1</v>
      </c>
      <c r="K500" t="str">
        <f>TEXT(checking_account_main[[#This Row],[Date]],"mmm-yyyy")</f>
        <v>Feb-2023</v>
      </c>
      <c r="L500">
        <f>_xlfn.XLOOKUP(checking_account_main[[#This Row],[Month_Year]],checking_account_main[Month_Year],checking_account_main[Balance],"",0,-1)</f>
        <v>335708</v>
      </c>
    </row>
    <row r="501" spans="1:12" x14ac:dyDescent="0.3">
      <c r="A501" s="1">
        <v>44976</v>
      </c>
      <c r="B501" t="s">
        <v>517</v>
      </c>
      <c r="C501" t="s">
        <v>8</v>
      </c>
      <c r="D501" t="s">
        <v>9</v>
      </c>
      <c r="E501" t="s">
        <v>10</v>
      </c>
      <c r="F501" s="3">
        <v>988</v>
      </c>
      <c r="G501">
        <v>327933</v>
      </c>
      <c r="H501">
        <f t="shared" si="21"/>
        <v>2023</v>
      </c>
      <c r="I501" t="str">
        <f t="shared" si="22"/>
        <v>February</v>
      </c>
      <c r="J501" t="str">
        <f t="shared" si="23"/>
        <v>Q1</v>
      </c>
      <c r="K501" t="str">
        <f>TEXT(checking_account_main[[#This Row],[Date]],"mmm-yyyy")</f>
        <v>Feb-2023</v>
      </c>
      <c r="L501">
        <f>_xlfn.XLOOKUP(checking_account_main[[#This Row],[Month_Year]],checking_account_main[Month_Year],checking_account_main[Balance],"",0,-1)</f>
        <v>335708</v>
      </c>
    </row>
    <row r="502" spans="1:12" x14ac:dyDescent="0.3">
      <c r="A502" s="1">
        <v>44976</v>
      </c>
      <c r="B502" t="s">
        <v>518</v>
      </c>
      <c r="C502" t="s">
        <v>47</v>
      </c>
      <c r="D502" t="s">
        <v>29</v>
      </c>
      <c r="E502" t="s">
        <v>17</v>
      </c>
      <c r="F502" s="3">
        <v>185</v>
      </c>
      <c r="G502">
        <v>327748</v>
      </c>
      <c r="H502">
        <f t="shared" si="21"/>
        <v>2023</v>
      </c>
      <c r="I502" t="str">
        <f t="shared" si="22"/>
        <v>February</v>
      </c>
      <c r="J502" t="str">
        <f t="shared" si="23"/>
        <v>Q1</v>
      </c>
      <c r="K502" t="str">
        <f>TEXT(checking_account_main[[#This Row],[Date]],"mmm-yyyy")</f>
        <v>Feb-2023</v>
      </c>
      <c r="L502">
        <f>_xlfn.XLOOKUP(checking_account_main[[#This Row],[Month_Year]],checking_account_main[Month_Year],checking_account_main[Balance],"",0,-1)</f>
        <v>335708</v>
      </c>
    </row>
    <row r="503" spans="1:12" x14ac:dyDescent="0.3">
      <c r="A503" s="1">
        <v>44977</v>
      </c>
      <c r="B503" t="s">
        <v>519</v>
      </c>
      <c r="C503" t="s">
        <v>8</v>
      </c>
      <c r="D503" t="s">
        <v>9</v>
      </c>
      <c r="E503" t="s">
        <v>10</v>
      </c>
      <c r="F503" s="3">
        <v>709</v>
      </c>
      <c r="G503">
        <v>328457</v>
      </c>
      <c r="H503">
        <f t="shared" si="21"/>
        <v>2023</v>
      </c>
      <c r="I503" t="str">
        <f t="shared" si="22"/>
        <v>February</v>
      </c>
      <c r="J503" t="str">
        <f t="shared" si="23"/>
        <v>Q1</v>
      </c>
      <c r="K503" t="str">
        <f>TEXT(checking_account_main[[#This Row],[Date]],"mmm-yyyy")</f>
        <v>Feb-2023</v>
      </c>
      <c r="L503">
        <f>_xlfn.XLOOKUP(checking_account_main[[#This Row],[Month_Year]],checking_account_main[Month_Year],checking_account_main[Balance],"",0,-1)</f>
        <v>335708</v>
      </c>
    </row>
    <row r="504" spans="1:12" x14ac:dyDescent="0.3">
      <c r="A504" s="1">
        <v>44978</v>
      </c>
      <c r="B504" t="s">
        <v>520</v>
      </c>
      <c r="C504" t="s">
        <v>8</v>
      </c>
      <c r="D504" t="s">
        <v>9</v>
      </c>
      <c r="E504" t="s">
        <v>10</v>
      </c>
      <c r="F504" s="3">
        <v>1029</v>
      </c>
      <c r="G504">
        <v>329486</v>
      </c>
      <c r="H504">
        <f t="shared" si="21"/>
        <v>2023</v>
      </c>
      <c r="I504" t="str">
        <f t="shared" si="22"/>
        <v>February</v>
      </c>
      <c r="J504" t="str">
        <f t="shared" si="23"/>
        <v>Q1</v>
      </c>
      <c r="K504" t="str">
        <f>TEXT(checking_account_main[[#This Row],[Date]],"mmm-yyyy")</f>
        <v>Feb-2023</v>
      </c>
      <c r="L504">
        <f>_xlfn.XLOOKUP(checking_account_main[[#This Row],[Month_Year]],checking_account_main[Month_Year],checking_account_main[Balance],"",0,-1)</f>
        <v>335708</v>
      </c>
    </row>
    <row r="505" spans="1:12" x14ac:dyDescent="0.3">
      <c r="A505" s="1">
        <v>44979</v>
      </c>
      <c r="B505" t="s">
        <v>521</v>
      </c>
      <c r="C505" t="s">
        <v>8</v>
      </c>
      <c r="D505" t="s">
        <v>9</v>
      </c>
      <c r="E505" t="s">
        <v>10</v>
      </c>
      <c r="F505" s="3">
        <v>993</v>
      </c>
      <c r="G505">
        <v>330479</v>
      </c>
      <c r="H505">
        <f t="shared" si="21"/>
        <v>2023</v>
      </c>
      <c r="I505" t="str">
        <f t="shared" si="22"/>
        <v>February</v>
      </c>
      <c r="J505" t="str">
        <f t="shared" si="23"/>
        <v>Q1</v>
      </c>
      <c r="K505" t="str">
        <f>TEXT(checking_account_main[[#This Row],[Date]],"mmm-yyyy")</f>
        <v>Feb-2023</v>
      </c>
      <c r="L505">
        <f>_xlfn.XLOOKUP(checking_account_main[[#This Row],[Month_Year]],checking_account_main[Month_Year],checking_account_main[Balance],"",0,-1)</f>
        <v>335708</v>
      </c>
    </row>
    <row r="506" spans="1:12" x14ac:dyDescent="0.3">
      <c r="A506" s="1">
        <v>44980</v>
      </c>
      <c r="B506" t="s">
        <v>522</v>
      </c>
      <c r="C506" t="s">
        <v>8</v>
      </c>
      <c r="D506" t="s">
        <v>9</v>
      </c>
      <c r="E506" t="s">
        <v>10</v>
      </c>
      <c r="F506" s="3">
        <v>1002</v>
      </c>
      <c r="G506">
        <v>331481</v>
      </c>
      <c r="H506">
        <f t="shared" si="21"/>
        <v>2023</v>
      </c>
      <c r="I506" t="str">
        <f t="shared" si="22"/>
        <v>February</v>
      </c>
      <c r="J506" t="str">
        <f t="shared" si="23"/>
        <v>Q1</v>
      </c>
      <c r="K506" t="str">
        <f>TEXT(checking_account_main[[#This Row],[Date]],"mmm-yyyy")</f>
        <v>Feb-2023</v>
      </c>
      <c r="L506">
        <f>_xlfn.XLOOKUP(checking_account_main[[#This Row],[Month_Year]],checking_account_main[Month_Year],checking_account_main[Balance],"",0,-1)</f>
        <v>335708</v>
      </c>
    </row>
    <row r="507" spans="1:12" x14ac:dyDescent="0.3">
      <c r="A507" s="1">
        <v>44981</v>
      </c>
      <c r="B507" t="s">
        <v>523</v>
      </c>
      <c r="C507" t="s">
        <v>8</v>
      </c>
      <c r="D507" t="s">
        <v>9</v>
      </c>
      <c r="E507" t="s">
        <v>10</v>
      </c>
      <c r="F507" s="3">
        <v>915</v>
      </c>
      <c r="G507">
        <v>332396</v>
      </c>
      <c r="H507">
        <f t="shared" si="21"/>
        <v>2023</v>
      </c>
      <c r="I507" t="str">
        <f t="shared" si="22"/>
        <v>February</v>
      </c>
      <c r="J507" t="str">
        <f t="shared" si="23"/>
        <v>Q1</v>
      </c>
      <c r="K507" t="str">
        <f>TEXT(checking_account_main[[#This Row],[Date]],"mmm-yyyy")</f>
        <v>Feb-2023</v>
      </c>
      <c r="L507">
        <f>_xlfn.XLOOKUP(checking_account_main[[#This Row],[Month_Year]],checking_account_main[Month_Year],checking_account_main[Balance],"",0,-1)</f>
        <v>335708</v>
      </c>
    </row>
    <row r="508" spans="1:12" x14ac:dyDescent="0.3">
      <c r="A508" s="1">
        <v>44982</v>
      </c>
      <c r="B508" t="s">
        <v>524</v>
      </c>
      <c r="C508" t="s">
        <v>8</v>
      </c>
      <c r="D508" t="s">
        <v>9</v>
      </c>
      <c r="E508" t="s">
        <v>10</v>
      </c>
      <c r="F508" s="3">
        <v>714</v>
      </c>
      <c r="G508">
        <v>333110</v>
      </c>
      <c r="H508">
        <f t="shared" si="21"/>
        <v>2023</v>
      </c>
      <c r="I508" t="str">
        <f t="shared" si="22"/>
        <v>February</v>
      </c>
      <c r="J508" t="str">
        <f t="shared" si="23"/>
        <v>Q1</v>
      </c>
      <c r="K508" t="str">
        <f>TEXT(checking_account_main[[#This Row],[Date]],"mmm-yyyy")</f>
        <v>Feb-2023</v>
      </c>
      <c r="L508">
        <f>_xlfn.XLOOKUP(checking_account_main[[#This Row],[Month_Year]],checking_account_main[Month_Year],checking_account_main[Balance],"",0,-1)</f>
        <v>335708</v>
      </c>
    </row>
    <row r="509" spans="1:12" x14ac:dyDescent="0.3">
      <c r="A509" s="1">
        <v>44983</v>
      </c>
      <c r="B509" t="s">
        <v>525</v>
      </c>
      <c r="C509" t="s">
        <v>8</v>
      </c>
      <c r="D509" t="s">
        <v>9</v>
      </c>
      <c r="E509" t="s">
        <v>10</v>
      </c>
      <c r="F509" s="3">
        <v>960</v>
      </c>
      <c r="G509">
        <v>334070</v>
      </c>
      <c r="H509">
        <f t="shared" si="21"/>
        <v>2023</v>
      </c>
      <c r="I509" t="str">
        <f t="shared" si="22"/>
        <v>February</v>
      </c>
      <c r="J509" t="str">
        <f t="shared" si="23"/>
        <v>Q1</v>
      </c>
      <c r="K509" t="str">
        <f>TEXT(checking_account_main[[#This Row],[Date]],"mmm-yyyy")</f>
        <v>Feb-2023</v>
      </c>
      <c r="L509">
        <f>_xlfn.XLOOKUP(checking_account_main[[#This Row],[Month_Year]],checking_account_main[Month_Year],checking_account_main[Balance],"",0,-1)</f>
        <v>335708</v>
      </c>
    </row>
    <row r="510" spans="1:12" x14ac:dyDescent="0.3">
      <c r="A510" s="1">
        <v>44984</v>
      </c>
      <c r="B510" t="s">
        <v>526</v>
      </c>
      <c r="C510" t="s">
        <v>8</v>
      </c>
      <c r="D510" t="s">
        <v>9</v>
      </c>
      <c r="E510" t="s">
        <v>10</v>
      </c>
      <c r="F510" s="3">
        <v>1023</v>
      </c>
      <c r="G510">
        <v>335093</v>
      </c>
      <c r="H510">
        <f t="shared" si="21"/>
        <v>2023</v>
      </c>
      <c r="I510" t="str">
        <f t="shared" si="22"/>
        <v>February</v>
      </c>
      <c r="J510" t="str">
        <f t="shared" si="23"/>
        <v>Q1</v>
      </c>
      <c r="K510" t="str">
        <f>TEXT(checking_account_main[[#This Row],[Date]],"mmm-yyyy")</f>
        <v>Feb-2023</v>
      </c>
      <c r="L510">
        <f>_xlfn.XLOOKUP(checking_account_main[[#This Row],[Month_Year]],checking_account_main[Month_Year],checking_account_main[Balance],"",0,-1)</f>
        <v>335708</v>
      </c>
    </row>
    <row r="511" spans="1:12" x14ac:dyDescent="0.3">
      <c r="A511" s="1">
        <v>44985</v>
      </c>
      <c r="B511" t="s">
        <v>527</v>
      </c>
      <c r="C511" t="s">
        <v>8</v>
      </c>
      <c r="D511" t="s">
        <v>9</v>
      </c>
      <c r="E511" t="s">
        <v>10</v>
      </c>
      <c r="F511" s="3">
        <v>829</v>
      </c>
      <c r="G511">
        <v>335922</v>
      </c>
      <c r="H511">
        <f t="shared" si="21"/>
        <v>2023</v>
      </c>
      <c r="I511" t="str">
        <f t="shared" si="22"/>
        <v>February</v>
      </c>
      <c r="J511" t="str">
        <f t="shared" si="23"/>
        <v>Q1</v>
      </c>
      <c r="K511" t="str">
        <f>TEXT(checking_account_main[[#This Row],[Date]],"mmm-yyyy")</f>
        <v>Feb-2023</v>
      </c>
      <c r="L511">
        <f>_xlfn.XLOOKUP(checking_account_main[[#This Row],[Month_Year]],checking_account_main[Month_Year],checking_account_main[Balance],"",0,-1)</f>
        <v>335708</v>
      </c>
    </row>
    <row r="512" spans="1:12" x14ac:dyDescent="0.3">
      <c r="A512" s="1">
        <v>44985</v>
      </c>
      <c r="B512" t="s">
        <v>528</v>
      </c>
      <c r="C512" t="s">
        <v>15</v>
      </c>
      <c r="D512" t="s">
        <v>16</v>
      </c>
      <c r="E512" t="s">
        <v>17</v>
      </c>
      <c r="F512" s="3">
        <v>214</v>
      </c>
      <c r="G512">
        <v>335708</v>
      </c>
      <c r="H512">
        <f t="shared" si="21"/>
        <v>2023</v>
      </c>
      <c r="I512" t="str">
        <f t="shared" si="22"/>
        <v>February</v>
      </c>
      <c r="J512" t="str">
        <f t="shared" si="23"/>
        <v>Q1</v>
      </c>
      <c r="K512" t="str">
        <f>TEXT(checking_account_main[[#This Row],[Date]],"mmm-yyyy")</f>
        <v>Feb-2023</v>
      </c>
      <c r="L512">
        <f>_xlfn.XLOOKUP(checking_account_main[[#This Row],[Month_Year]],checking_account_main[Month_Year],checking_account_main[Balance],"",0,-1)</f>
        <v>335708</v>
      </c>
    </row>
    <row r="513" spans="1:12" x14ac:dyDescent="0.3">
      <c r="A513" s="1">
        <v>44986</v>
      </c>
      <c r="B513" t="s">
        <v>529</v>
      </c>
      <c r="C513" t="s">
        <v>8</v>
      </c>
      <c r="D513" t="s">
        <v>9</v>
      </c>
      <c r="E513" t="s">
        <v>10</v>
      </c>
      <c r="F513" s="3">
        <v>691</v>
      </c>
      <c r="G513">
        <v>336399</v>
      </c>
      <c r="H513">
        <f t="shared" si="21"/>
        <v>2023</v>
      </c>
      <c r="I513" t="str">
        <f t="shared" si="22"/>
        <v>March</v>
      </c>
      <c r="J513" t="str">
        <f t="shared" si="23"/>
        <v>Q1</v>
      </c>
      <c r="K513" t="str">
        <f>TEXT(checking_account_main[[#This Row],[Date]],"mmm-yyyy")</f>
        <v>Mar-2023</v>
      </c>
      <c r="L513">
        <f>_xlfn.XLOOKUP(checking_account_main[[#This Row],[Month_Year]],checking_account_main[Month_Year],checking_account_main[Balance],"",0,-1)</f>
        <v>353739</v>
      </c>
    </row>
    <row r="514" spans="1:12" x14ac:dyDescent="0.3">
      <c r="A514" s="1">
        <v>44987</v>
      </c>
      <c r="B514" t="s">
        <v>530</v>
      </c>
      <c r="C514" t="s">
        <v>8</v>
      </c>
      <c r="D514" t="s">
        <v>9</v>
      </c>
      <c r="E514" t="s">
        <v>10</v>
      </c>
      <c r="F514" s="3">
        <v>682</v>
      </c>
      <c r="G514">
        <v>337081</v>
      </c>
      <c r="H514">
        <f t="shared" ref="H514:H577" si="24">YEAR(A514)</f>
        <v>2023</v>
      </c>
      <c r="I514" t="str">
        <f t="shared" ref="I514:I577" si="25">TEXT(A514,"mmmm")</f>
        <v>March</v>
      </c>
      <c r="J514" t="str">
        <f t="shared" ref="J514:J577" si="26">"Q"&amp;ROUNDUP(MONTH(A514)/3,0)</f>
        <v>Q1</v>
      </c>
      <c r="K514" t="str">
        <f>TEXT(checking_account_main[[#This Row],[Date]],"mmm-yyyy")</f>
        <v>Mar-2023</v>
      </c>
      <c r="L514">
        <f>_xlfn.XLOOKUP(checking_account_main[[#This Row],[Month_Year]],checking_account_main[Month_Year],checking_account_main[Balance],"",0,-1)</f>
        <v>353739</v>
      </c>
    </row>
    <row r="515" spans="1:12" x14ac:dyDescent="0.3">
      <c r="A515" s="1">
        <v>44988</v>
      </c>
      <c r="B515" t="s">
        <v>531</v>
      </c>
      <c r="C515" t="s">
        <v>8</v>
      </c>
      <c r="D515" t="s">
        <v>9</v>
      </c>
      <c r="E515" t="s">
        <v>10</v>
      </c>
      <c r="F515" s="3">
        <v>410</v>
      </c>
      <c r="G515">
        <v>337491</v>
      </c>
      <c r="H515">
        <f t="shared" si="24"/>
        <v>2023</v>
      </c>
      <c r="I515" t="str">
        <f t="shared" si="25"/>
        <v>March</v>
      </c>
      <c r="J515" t="str">
        <f t="shared" si="26"/>
        <v>Q1</v>
      </c>
      <c r="K515" t="str">
        <f>TEXT(checking_account_main[[#This Row],[Date]],"mmm-yyyy")</f>
        <v>Mar-2023</v>
      </c>
      <c r="L515">
        <f>_xlfn.XLOOKUP(checking_account_main[[#This Row],[Month_Year]],checking_account_main[Month_Year],checking_account_main[Balance],"",0,-1)</f>
        <v>353739</v>
      </c>
    </row>
    <row r="516" spans="1:12" x14ac:dyDescent="0.3">
      <c r="A516" s="1">
        <v>44989</v>
      </c>
      <c r="B516" t="s">
        <v>532</v>
      </c>
      <c r="C516" t="s">
        <v>8</v>
      </c>
      <c r="D516" t="s">
        <v>9</v>
      </c>
      <c r="E516" t="s">
        <v>10</v>
      </c>
      <c r="F516" s="3">
        <v>759</v>
      </c>
      <c r="G516">
        <v>338250</v>
      </c>
      <c r="H516">
        <f t="shared" si="24"/>
        <v>2023</v>
      </c>
      <c r="I516" t="str">
        <f t="shared" si="25"/>
        <v>March</v>
      </c>
      <c r="J516" t="str">
        <f t="shared" si="26"/>
        <v>Q1</v>
      </c>
      <c r="K516" t="str">
        <f>TEXT(checking_account_main[[#This Row],[Date]],"mmm-yyyy")</f>
        <v>Mar-2023</v>
      </c>
      <c r="L516">
        <f>_xlfn.XLOOKUP(checking_account_main[[#This Row],[Month_Year]],checking_account_main[Month_Year],checking_account_main[Balance],"",0,-1)</f>
        <v>353739</v>
      </c>
    </row>
    <row r="517" spans="1:12" x14ac:dyDescent="0.3">
      <c r="A517" s="1">
        <v>44990</v>
      </c>
      <c r="B517" t="s">
        <v>533</v>
      </c>
      <c r="C517" t="s">
        <v>8</v>
      </c>
      <c r="D517" t="s">
        <v>9</v>
      </c>
      <c r="E517" t="s">
        <v>10</v>
      </c>
      <c r="F517" s="3">
        <v>599</v>
      </c>
      <c r="G517">
        <v>338849</v>
      </c>
      <c r="H517">
        <f t="shared" si="24"/>
        <v>2023</v>
      </c>
      <c r="I517" t="str">
        <f t="shared" si="25"/>
        <v>March</v>
      </c>
      <c r="J517" t="str">
        <f t="shared" si="26"/>
        <v>Q1</v>
      </c>
      <c r="K517" t="str">
        <f>TEXT(checking_account_main[[#This Row],[Date]],"mmm-yyyy")</f>
        <v>Mar-2023</v>
      </c>
      <c r="L517">
        <f>_xlfn.XLOOKUP(checking_account_main[[#This Row],[Month_Year]],checking_account_main[Month_Year],checking_account_main[Balance],"",0,-1)</f>
        <v>353739</v>
      </c>
    </row>
    <row r="518" spans="1:12" x14ac:dyDescent="0.3">
      <c r="A518" s="1">
        <v>44991</v>
      </c>
      <c r="B518" t="s">
        <v>534</v>
      </c>
      <c r="C518" t="s">
        <v>8</v>
      </c>
      <c r="D518" t="s">
        <v>9</v>
      </c>
      <c r="E518" t="s">
        <v>10</v>
      </c>
      <c r="F518" s="3">
        <v>745</v>
      </c>
      <c r="G518">
        <v>339594</v>
      </c>
      <c r="H518">
        <f t="shared" si="24"/>
        <v>2023</v>
      </c>
      <c r="I518" t="str">
        <f t="shared" si="25"/>
        <v>March</v>
      </c>
      <c r="J518" t="str">
        <f t="shared" si="26"/>
        <v>Q1</v>
      </c>
      <c r="K518" t="str">
        <f>TEXT(checking_account_main[[#This Row],[Date]],"mmm-yyyy")</f>
        <v>Mar-2023</v>
      </c>
      <c r="L518">
        <f>_xlfn.XLOOKUP(checking_account_main[[#This Row],[Month_Year]],checking_account_main[Month_Year],checking_account_main[Balance],"",0,-1)</f>
        <v>353739</v>
      </c>
    </row>
    <row r="519" spans="1:12" x14ac:dyDescent="0.3">
      <c r="A519" s="1">
        <v>44992</v>
      </c>
      <c r="B519" t="s">
        <v>535</v>
      </c>
      <c r="C519" t="s">
        <v>8</v>
      </c>
      <c r="D519" t="s">
        <v>9</v>
      </c>
      <c r="E519" t="s">
        <v>10</v>
      </c>
      <c r="F519" s="3">
        <v>795</v>
      </c>
      <c r="G519">
        <v>340389</v>
      </c>
      <c r="H519">
        <f t="shared" si="24"/>
        <v>2023</v>
      </c>
      <c r="I519" t="str">
        <f t="shared" si="25"/>
        <v>March</v>
      </c>
      <c r="J519" t="str">
        <f t="shared" si="26"/>
        <v>Q1</v>
      </c>
      <c r="K519" t="str">
        <f>TEXT(checking_account_main[[#This Row],[Date]],"mmm-yyyy")</f>
        <v>Mar-2023</v>
      </c>
      <c r="L519">
        <f>_xlfn.XLOOKUP(checking_account_main[[#This Row],[Month_Year]],checking_account_main[Month_Year],checking_account_main[Balance],"",0,-1)</f>
        <v>353739</v>
      </c>
    </row>
    <row r="520" spans="1:12" x14ac:dyDescent="0.3">
      <c r="A520" s="1">
        <v>44993</v>
      </c>
      <c r="B520" t="s">
        <v>536</v>
      </c>
      <c r="C520" t="s">
        <v>8</v>
      </c>
      <c r="D520" t="s">
        <v>9</v>
      </c>
      <c r="E520" t="s">
        <v>10</v>
      </c>
      <c r="F520" s="3">
        <v>503</v>
      </c>
      <c r="G520">
        <v>340892</v>
      </c>
      <c r="H520">
        <f t="shared" si="24"/>
        <v>2023</v>
      </c>
      <c r="I520" t="str">
        <f t="shared" si="25"/>
        <v>March</v>
      </c>
      <c r="J520" t="str">
        <f t="shared" si="26"/>
        <v>Q1</v>
      </c>
      <c r="K520" t="str">
        <f>TEXT(checking_account_main[[#This Row],[Date]],"mmm-yyyy")</f>
        <v>Mar-2023</v>
      </c>
      <c r="L520">
        <f>_xlfn.XLOOKUP(checking_account_main[[#This Row],[Month_Year]],checking_account_main[Month_Year],checking_account_main[Balance],"",0,-1)</f>
        <v>353739</v>
      </c>
    </row>
    <row r="521" spans="1:12" x14ac:dyDescent="0.3">
      <c r="A521" s="1">
        <v>44994</v>
      </c>
      <c r="B521" t="s">
        <v>537</v>
      </c>
      <c r="C521" t="s">
        <v>8</v>
      </c>
      <c r="D521" t="s">
        <v>9</v>
      </c>
      <c r="E521" t="s">
        <v>10</v>
      </c>
      <c r="F521" s="3">
        <v>510</v>
      </c>
      <c r="G521">
        <v>341402</v>
      </c>
      <c r="H521">
        <f t="shared" si="24"/>
        <v>2023</v>
      </c>
      <c r="I521" t="str">
        <f t="shared" si="25"/>
        <v>March</v>
      </c>
      <c r="J521" t="str">
        <f t="shared" si="26"/>
        <v>Q1</v>
      </c>
      <c r="K521" t="str">
        <f>TEXT(checking_account_main[[#This Row],[Date]],"mmm-yyyy")</f>
        <v>Mar-2023</v>
      </c>
      <c r="L521">
        <f>_xlfn.XLOOKUP(checking_account_main[[#This Row],[Month_Year]],checking_account_main[Month_Year],checking_account_main[Balance],"",0,-1)</f>
        <v>353739</v>
      </c>
    </row>
    <row r="522" spans="1:12" x14ac:dyDescent="0.3">
      <c r="A522" s="1">
        <v>44995</v>
      </c>
      <c r="B522" t="s">
        <v>538</v>
      </c>
      <c r="C522" t="s">
        <v>8</v>
      </c>
      <c r="D522" t="s">
        <v>9</v>
      </c>
      <c r="E522" t="s">
        <v>10</v>
      </c>
      <c r="F522" s="3">
        <v>570</v>
      </c>
      <c r="G522">
        <v>341972</v>
      </c>
      <c r="H522">
        <f t="shared" si="24"/>
        <v>2023</v>
      </c>
      <c r="I522" t="str">
        <f t="shared" si="25"/>
        <v>March</v>
      </c>
      <c r="J522" t="str">
        <f t="shared" si="26"/>
        <v>Q1</v>
      </c>
      <c r="K522" t="str">
        <f>TEXT(checking_account_main[[#This Row],[Date]],"mmm-yyyy")</f>
        <v>Mar-2023</v>
      </c>
      <c r="L522">
        <f>_xlfn.XLOOKUP(checking_account_main[[#This Row],[Month_Year]],checking_account_main[Month_Year],checking_account_main[Balance],"",0,-1)</f>
        <v>353739</v>
      </c>
    </row>
    <row r="523" spans="1:12" x14ac:dyDescent="0.3">
      <c r="A523" s="1">
        <v>44996</v>
      </c>
      <c r="B523" t="s">
        <v>539</v>
      </c>
      <c r="C523" t="s">
        <v>8</v>
      </c>
      <c r="D523" t="s">
        <v>9</v>
      </c>
      <c r="E523" t="s">
        <v>10</v>
      </c>
      <c r="F523" s="3">
        <v>755</v>
      </c>
      <c r="G523">
        <v>342727</v>
      </c>
      <c r="H523">
        <f t="shared" si="24"/>
        <v>2023</v>
      </c>
      <c r="I523" t="str">
        <f t="shared" si="25"/>
        <v>March</v>
      </c>
      <c r="J523" t="str">
        <f t="shared" si="26"/>
        <v>Q1</v>
      </c>
      <c r="K523" t="str">
        <f>TEXT(checking_account_main[[#This Row],[Date]],"mmm-yyyy")</f>
        <v>Mar-2023</v>
      </c>
      <c r="L523">
        <f>_xlfn.XLOOKUP(checking_account_main[[#This Row],[Month_Year]],checking_account_main[Month_Year],checking_account_main[Balance],"",0,-1)</f>
        <v>353739</v>
      </c>
    </row>
    <row r="524" spans="1:12" x14ac:dyDescent="0.3">
      <c r="A524" s="1">
        <v>44997</v>
      </c>
      <c r="B524" t="s">
        <v>540</v>
      </c>
      <c r="C524" t="s">
        <v>8</v>
      </c>
      <c r="D524" t="s">
        <v>9</v>
      </c>
      <c r="E524" t="s">
        <v>10</v>
      </c>
      <c r="F524" s="3">
        <v>532</v>
      </c>
      <c r="G524">
        <v>343259</v>
      </c>
      <c r="H524">
        <f t="shared" si="24"/>
        <v>2023</v>
      </c>
      <c r="I524" t="str">
        <f t="shared" si="25"/>
        <v>March</v>
      </c>
      <c r="J524" t="str">
        <f t="shared" si="26"/>
        <v>Q1</v>
      </c>
      <c r="K524" t="str">
        <f>TEXT(checking_account_main[[#This Row],[Date]],"mmm-yyyy")</f>
        <v>Mar-2023</v>
      </c>
      <c r="L524">
        <f>_xlfn.XLOOKUP(checking_account_main[[#This Row],[Month_Year]],checking_account_main[Month_Year],checking_account_main[Balance],"",0,-1)</f>
        <v>353739</v>
      </c>
    </row>
    <row r="525" spans="1:12" x14ac:dyDescent="0.3">
      <c r="A525" s="1">
        <v>44998</v>
      </c>
      <c r="B525" t="s">
        <v>541</v>
      </c>
      <c r="C525" t="s">
        <v>8</v>
      </c>
      <c r="D525" t="s">
        <v>9</v>
      </c>
      <c r="E525" t="s">
        <v>10</v>
      </c>
      <c r="F525" s="3">
        <v>727</v>
      </c>
      <c r="G525">
        <v>343986</v>
      </c>
      <c r="H525">
        <f t="shared" si="24"/>
        <v>2023</v>
      </c>
      <c r="I525" t="str">
        <f t="shared" si="25"/>
        <v>March</v>
      </c>
      <c r="J525" t="str">
        <f t="shared" si="26"/>
        <v>Q1</v>
      </c>
      <c r="K525" t="str">
        <f>TEXT(checking_account_main[[#This Row],[Date]],"mmm-yyyy")</f>
        <v>Mar-2023</v>
      </c>
      <c r="L525">
        <f>_xlfn.XLOOKUP(checking_account_main[[#This Row],[Month_Year]],checking_account_main[Month_Year],checking_account_main[Balance],"",0,-1)</f>
        <v>353739</v>
      </c>
    </row>
    <row r="526" spans="1:12" x14ac:dyDescent="0.3">
      <c r="A526" s="1">
        <v>44999</v>
      </c>
      <c r="B526" t="s">
        <v>542</v>
      </c>
      <c r="C526" t="s">
        <v>8</v>
      </c>
      <c r="D526" t="s">
        <v>9</v>
      </c>
      <c r="E526" t="s">
        <v>10</v>
      </c>
      <c r="F526" s="3">
        <v>491</v>
      </c>
      <c r="G526">
        <v>344477</v>
      </c>
      <c r="H526">
        <f t="shared" si="24"/>
        <v>2023</v>
      </c>
      <c r="I526" t="str">
        <f t="shared" si="25"/>
        <v>March</v>
      </c>
      <c r="J526" t="str">
        <f t="shared" si="26"/>
        <v>Q1</v>
      </c>
      <c r="K526" t="str">
        <f>TEXT(checking_account_main[[#This Row],[Date]],"mmm-yyyy")</f>
        <v>Mar-2023</v>
      </c>
      <c r="L526">
        <f>_xlfn.XLOOKUP(checking_account_main[[#This Row],[Month_Year]],checking_account_main[Month_Year],checking_account_main[Balance],"",0,-1)</f>
        <v>353739</v>
      </c>
    </row>
    <row r="527" spans="1:12" x14ac:dyDescent="0.3">
      <c r="A527" s="1">
        <v>45000</v>
      </c>
      <c r="B527" t="s">
        <v>543</v>
      </c>
      <c r="C527" t="s">
        <v>8</v>
      </c>
      <c r="D527" t="s">
        <v>9</v>
      </c>
      <c r="E527" t="s">
        <v>10</v>
      </c>
      <c r="F527" s="3">
        <v>792</v>
      </c>
      <c r="G527">
        <v>345269</v>
      </c>
      <c r="H527">
        <f t="shared" si="24"/>
        <v>2023</v>
      </c>
      <c r="I527" t="str">
        <f t="shared" si="25"/>
        <v>March</v>
      </c>
      <c r="J527" t="str">
        <f t="shared" si="26"/>
        <v>Q1</v>
      </c>
      <c r="K527" t="str">
        <f>TEXT(checking_account_main[[#This Row],[Date]],"mmm-yyyy")</f>
        <v>Mar-2023</v>
      </c>
      <c r="L527">
        <f>_xlfn.XLOOKUP(checking_account_main[[#This Row],[Month_Year]],checking_account_main[Month_Year],checking_account_main[Balance],"",0,-1)</f>
        <v>353739</v>
      </c>
    </row>
    <row r="528" spans="1:12" x14ac:dyDescent="0.3">
      <c r="A528" s="1">
        <v>45001</v>
      </c>
      <c r="B528" t="s">
        <v>544</v>
      </c>
      <c r="C528" t="s">
        <v>8</v>
      </c>
      <c r="D528" t="s">
        <v>9</v>
      </c>
      <c r="E528" t="s">
        <v>10</v>
      </c>
      <c r="F528" s="3">
        <v>428</v>
      </c>
      <c r="G528">
        <v>345697</v>
      </c>
      <c r="H528">
        <f t="shared" si="24"/>
        <v>2023</v>
      </c>
      <c r="I528" t="str">
        <f t="shared" si="25"/>
        <v>March</v>
      </c>
      <c r="J528" t="str">
        <f t="shared" si="26"/>
        <v>Q1</v>
      </c>
      <c r="K528" t="str">
        <f>TEXT(checking_account_main[[#This Row],[Date]],"mmm-yyyy")</f>
        <v>Mar-2023</v>
      </c>
      <c r="L528">
        <f>_xlfn.XLOOKUP(checking_account_main[[#This Row],[Month_Year]],checking_account_main[Month_Year],checking_account_main[Balance],"",0,-1)</f>
        <v>353739</v>
      </c>
    </row>
    <row r="529" spans="1:12" x14ac:dyDescent="0.3">
      <c r="A529" s="1">
        <v>45001</v>
      </c>
      <c r="B529" t="s">
        <v>545</v>
      </c>
      <c r="C529" t="s">
        <v>15</v>
      </c>
      <c r="D529" t="s">
        <v>16</v>
      </c>
      <c r="E529" t="s">
        <v>17</v>
      </c>
      <c r="F529" s="3">
        <v>396</v>
      </c>
      <c r="G529">
        <v>345301</v>
      </c>
      <c r="H529">
        <f t="shared" si="24"/>
        <v>2023</v>
      </c>
      <c r="I529" t="str">
        <f t="shared" si="25"/>
        <v>March</v>
      </c>
      <c r="J529" t="str">
        <f t="shared" si="26"/>
        <v>Q1</v>
      </c>
      <c r="K529" t="str">
        <f>TEXT(checking_account_main[[#This Row],[Date]],"mmm-yyyy")</f>
        <v>Mar-2023</v>
      </c>
      <c r="L529">
        <f>_xlfn.XLOOKUP(checking_account_main[[#This Row],[Month_Year]],checking_account_main[Month_Year],checking_account_main[Balance],"",0,-1)</f>
        <v>353739</v>
      </c>
    </row>
    <row r="530" spans="1:12" x14ac:dyDescent="0.3">
      <c r="A530" s="1">
        <v>45002</v>
      </c>
      <c r="B530" t="s">
        <v>546</v>
      </c>
      <c r="C530" t="s">
        <v>8</v>
      </c>
      <c r="D530" t="s">
        <v>9</v>
      </c>
      <c r="E530" t="s">
        <v>10</v>
      </c>
      <c r="F530" s="3">
        <v>656</v>
      </c>
      <c r="G530">
        <v>345957</v>
      </c>
      <c r="H530">
        <f t="shared" si="24"/>
        <v>2023</v>
      </c>
      <c r="I530" t="str">
        <f t="shared" si="25"/>
        <v>March</v>
      </c>
      <c r="J530" t="str">
        <f t="shared" si="26"/>
        <v>Q1</v>
      </c>
      <c r="K530" t="str">
        <f>TEXT(checking_account_main[[#This Row],[Date]],"mmm-yyyy")</f>
        <v>Mar-2023</v>
      </c>
      <c r="L530">
        <f>_xlfn.XLOOKUP(checking_account_main[[#This Row],[Month_Year]],checking_account_main[Month_Year],checking_account_main[Balance],"",0,-1)</f>
        <v>353739</v>
      </c>
    </row>
    <row r="531" spans="1:12" x14ac:dyDescent="0.3">
      <c r="A531" s="1">
        <v>45002</v>
      </c>
      <c r="B531" t="s">
        <v>547</v>
      </c>
      <c r="C531" t="s">
        <v>22</v>
      </c>
      <c r="D531" t="s">
        <v>16</v>
      </c>
      <c r="E531" t="s">
        <v>17</v>
      </c>
      <c r="F531" s="3">
        <v>445</v>
      </c>
      <c r="G531">
        <v>345512</v>
      </c>
      <c r="H531">
        <f t="shared" si="24"/>
        <v>2023</v>
      </c>
      <c r="I531" t="str">
        <f t="shared" si="25"/>
        <v>March</v>
      </c>
      <c r="J531" t="str">
        <f t="shared" si="26"/>
        <v>Q1</v>
      </c>
      <c r="K531" t="str">
        <f>TEXT(checking_account_main[[#This Row],[Date]],"mmm-yyyy")</f>
        <v>Mar-2023</v>
      </c>
      <c r="L531">
        <f>_xlfn.XLOOKUP(checking_account_main[[#This Row],[Month_Year]],checking_account_main[Month_Year],checking_account_main[Balance],"",0,-1)</f>
        <v>353739</v>
      </c>
    </row>
    <row r="532" spans="1:12" x14ac:dyDescent="0.3">
      <c r="A532" s="1">
        <v>45003</v>
      </c>
      <c r="B532" t="s">
        <v>548</v>
      </c>
      <c r="C532" t="s">
        <v>8</v>
      </c>
      <c r="D532" t="s">
        <v>9</v>
      </c>
      <c r="E532" t="s">
        <v>10</v>
      </c>
      <c r="F532" s="3">
        <v>581</v>
      </c>
      <c r="G532">
        <v>346093</v>
      </c>
      <c r="H532">
        <f t="shared" si="24"/>
        <v>2023</v>
      </c>
      <c r="I532" t="str">
        <f t="shared" si="25"/>
        <v>March</v>
      </c>
      <c r="J532" t="str">
        <f t="shared" si="26"/>
        <v>Q1</v>
      </c>
      <c r="K532" t="str">
        <f>TEXT(checking_account_main[[#This Row],[Date]],"mmm-yyyy")</f>
        <v>Mar-2023</v>
      </c>
      <c r="L532">
        <f>_xlfn.XLOOKUP(checking_account_main[[#This Row],[Month_Year]],checking_account_main[Month_Year],checking_account_main[Balance],"",0,-1)</f>
        <v>353739</v>
      </c>
    </row>
    <row r="533" spans="1:12" x14ac:dyDescent="0.3">
      <c r="A533" s="1">
        <v>45004</v>
      </c>
      <c r="B533" t="s">
        <v>549</v>
      </c>
      <c r="C533" t="s">
        <v>8</v>
      </c>
      <c r="D533" t="s">
        <v>9</v>
      </c>
      <c r="E533" t="s">
        <v>10</v>
      </c>
      <c r="F533" s="3">
        <v>400</v>
      </c>
      <c r="G533">
        <v>346493</v>
      </c>
      <c r="H533">
        <f t="shared" si="24"/>
        <v>2023</v>
      </c>
      <c r="I533" t="str">
        <f t="shared" si="25"/>
        <v>March</v>
      </c>
      <c r="J533" t="str">
        <f t="shared" si="26"/>
        <v>Q1</v>
      </c>
      <c r="K533" t="str">
        <f>TEXT(checking_account_main[[#This Row],[Date]],"mmm-yyyy")</f>
        <v>Mar-2023</v>
      </c>
      <c r="L533">
        <f>_xlfn.XLOOKUP(checking_account_main[[#This Row],[Month_Year]],checking_account_main[Month_Year],checking_account_main[Balance],"",0,-1)</f>
        <v>353739</v>
      </c>
    </row>
    <row r="534" spans="1:12" x14ac:dyDescent="0.3">
      <c r="A534" s="1">
        <v>45005</v>
      </c>
      <c r="B534" t="s">
        <v>550</v>
      </c>
      <c r="C534" t="s">
        <v>8</v>
      </c>
      <c r="D534" t="s">
        <v>9</v>
      </c>
      <c r="E534" t="s">
        <v>10</v>
      </c>
      <c r="F534" s="3">
        <v>454</v>
      </c>
      <c r="G534">
        <v>346947</v>
      </c>
      <c r="H534">
        <f t="shared" si="24"/>
        <v>2023</v>
      </c>
      <c r="I534" t="str">
        <f t="shared" si="25"/>
        <v>March</v>
      </c>
      <c r="J534" t="str">
        <f t="shared" si="26"/>
        <v>Q1</v>
      </c>
      <c r="K534" t="str">
        <f>TEXT(checking_account_main[[#This Row],[Date]],"mmm-yyyy")</f>
        <v>Mar-2023</v>
      </c>
      <c r="L534">
        <f>_xlfn.XLOOKUP(checking_account_main[[#This Row],[Month_Year]],checking_account_main[Month_Year],checking_account_main[Balance],"",0,-1)</f>
        <v>353739</v>
      </c>
    </row>
    <row r="535" spans="1:12" x14ac:dyDescent="0.3">
      <c r="A535" s="1">
        <v>45006</v>
      </c>
      <c r="B535" t="s">
        <v>551</v>
      </c>
      <c r="C535" t="s">
        <v>8</v>
      </c>
      <c r="D535" t="s">
        <v>9</v>
      </c>
      <c r="E535" t="s">
        <v>10</v>
      </c>
      <c r="F535" s="3">
        <v>798</v>
      </c>
      <c r="G535">
        <v>347745</v>
      </c>
      <c r="H535">
        <f t="shared" si="24"/>
        <v>2023</v>
      </c>
      <c r="I535" t="str">
        <f t="shared" si="25"/>
        <v>March</v>
      </c>
      <c r="J535" t="str">
        <f t="shared" si="26"/>
        <v>Q1</v>
      </c>
      <c r="K535" t="str">
        <f>TEXT(checking_account_main[[#This Row],[Date]],"mmm-yyyy")</f>
        <v>Mar-2023</v>
      </c>
      <c r="L535">
        <f>_xlfn.XLOOKUP(checking_account_main[[#This Row],[Month_Year]],checking_account_main[Month_Year],checking_account_main[Balance],"",0,-1)</f>
        <v>353739</v>
      </c>
    </row>
    <row r="536" spans="1:12" x14ac:dyDescent="0.3">
      <c r="A536" s="1">
        <v>45007</v>
      </c>
      <c r="B536" t="s">
        <v>552</v>
      </c>
      <c r="C536" t="s">
        <v>8</v>
      </c>
      <c r="D536" t="s">
        <v>9</v>
      </c>
      <c r="E536" t="s">
        <v>10</v>
      </c>
      <c r="F536" s="3">
        <v>708</v>
      </c>
      <c r="G536">
        <v>348453</v>
      </c>
      <c r="H536">
        <f t="shared" si="24"/>
        <v>2023</v>
      </c>
      <c r="I536" t="str">
        <f t="shared" si="25"/>
        <v>March</v>
      </c>
      <c r="J536" t="str">
        <f t="shared" si="26"/>
        <v>Q1</v>
      </c>
      <c r="K536" t="str">
        <f>TEXT(checking_account_main[[#This Row],[Date]],"mmm-yyyy")</f>
        <v>Mar-2023</v>
      </c>
      <c r="L536">
        <f>_xlfn.XLOOKUP(checking_account_main[[#This Row],[Month_Year]],checking_account_main[Month_Year],checking_account_main[Balance],"",0,-1)</f>
        <v>353739</v>
      </c>
    </row>
    <row r="537" spans="1:12" x14ac:dyDescent="0.3">
      <c r="A537" s="1">
        <v>45008</v>
      </c>
      <c r="B537" t="s">
        <v>553</v>
      </c>
      <c r="C537" t="s">
        <v>8</v>
      </c>
      <c r="D537" t="s">
        <v>9</v>
      </c>
      <c r="E537" t="s">
        <v>10</v>
      </c>
      <c r="F537" s="3">
        <v>712</v>
      </c>
      <c r="G537">
        <v>349165</v>
      </c>
      <c r="H537">
        <f t="shared" si="24"/>
        <v>2023</v>
      </c>
      <c r="I537" t="str">
        <f t="shared" si="25"/>
        <v>March</v>
      </c>
      <c r="J537" t="str">
        <f t="shared" si="26"/>
        <v>Q1</v>
      </c>
      <c r="K537" t="str">
        <f>TEXT(checking_account_main[[#This Row],[Date]],"mmm-yyyy")</f>
        <v>Mar-2023</v>
      </c>
      <c r="L537">
        <f>_xlfn.XLOOKUP(checking_account_main[[#This Row],[Month_Year]],checking_account_main[Month_Year],checking_account_main[Balance],"",0,-1)</f>
        <v>353739</v>
      </c>
    </row>
    <row r="538" spans="1:12" x14ac:dyDescent="0.3">
      <c r="A538" s="1">
        <v>45008</v>
      </c>
      <c r="B538" t="s">
        <v>554</v>
      </c>
      <c r="C538" t="s">
        <v>22</v>
      </c>
      <c r="D538" t="s">
        <v>16</v>
      </c>
      <c r="E538" t="s">
        <v>17</v>
      </c>
      <c r="F538" s="3">
        <v>390</v>
      </c>
      <c r="G538">
        <v>348775</v>
      </c>
      <c r="H538">
        <f t="shared" si="24"/>
        <v>2023</v>
      </c>
      <c r="I538" t="str">
        <f t="shared" si="25"/>
        <v>March</v>
      </c>
      <c r="J538" t="str">
        <f t="shared" si="26"/>
        <v>Q1</v>
      </c>
      <c r="K538" t="str">
        <f>TEXT(checking_account_main[[#This Row],[Date]],"mmm-yyyy")</f>
        <v>Mar-2023</v>
      </c>
      <c r="L538">
        <f>_xlfn.XLOOKUP(checking_account_main[[#This Row],[Month_Year]],checking_account_main[Month_Year],checking_account_main[Balance],"",0,-1)</f>
        <v>353739</v>
      </c>
    </row>
    <row r="539" spans="1:12" x14ac:dyDescent="0.3">
      <c r="A539" s="1">
        <v>45009</v>
      </c>
      <c r="B539" t="s">
        <v>555</v>
      </c>
      <c r="C539" t="s">
        <v>8</v>
      </c>
      <c r="D539" t="s">
        <v>9</v>
      </c>
      <c r="E539" t="s">
        <v>10</v>
      </c>
      <c r="F539" s="3">
        <v>424</v>
      </c>
      <c r="G539">
        <v>349199</v>
      </c>
      <c r="H539">
        <f t="shared" si="24"/>
        <v>2023</v>
      </c>
      <c r="I539" t="str">
        <f t="shared" si="25"/>
        <v>March</v>
      </c>
      <c r="J539" t="str">
        <f t="shared" si="26"/>
        <v>Q1</v>
      </c>
      <c r="K539" t="str">
        <f>TEXT(checking_account_main[[#This Row],[Date]],"mmm-yyyy")</f>
        <v>Mar-2023</v>
      </c>
      <c r="L539">
        <f>_xlfn.XLOOKUP(checking_account_main[[#This Row],[Month_Year]],checking_account_main[Month_Year],checking_account_main[Balance],"",0,-1)</f>
        <v>353739</v>
      </c>
    </row>
    <row r="540" spans="1:12" x14ac:dyDescent="0.3">
      <c r="A540" s="1">
        <v>45010</v>
      </c>
      <c r="B540" t="s">
        <v>556</v>
      </c>
      <c r="C540" t="s">
        <v>8</v>
      </c>
      <c r="D540" t="s">
        <v>9</v>
      </c>
      <c r="E540" t="s">
        <v>10</v>
      </c>
      <c r="F540" s="3">
        <v>693</v>
      </c>
      <c r="G540">
        <v>349892</v>
      </c>
      <c r="H540">
        <f t="shared" si="24"/>
        <v>2023</v>
      </c>
      <c r="I540" t="str">
        <f t="shared" si="25"/>
        <v>March</v>
      </c>
      <c r="J540" t="str">
        <f t="shared" si="26"/>
        <v>Q1</v>
      </c>
      <c r="K540" t="str">
        <f>TEXT(checking_account_main[[#This Row],[Date]],"mmm-yyyy")</f>
        <v>Mar-2023</v>
      </c>
      <c r="L540">
        <f>_xlfn.XLOOKUP(checking_account_main[[#This Row],[Month_Year]],checking_account_main[Month_Year],checking_account_main[Balance],"",0,-1)</f>
        <v>353739</v>
      </c>
    </row>
    <row r="541" spans="1:12" x14ac:dyDescent="0.3">
      <c r="A541" s="1">
        <v>45011</v>
      </c>
      <c r="B541" t="s">
        <v>557</v>
      </c>
      <c r="C541" t="s">
        <v>8</v>
      </c>
      <c r="D541" t="s">
        <v>9</v>
      </c>
      <c r="E541" t="s">
        <v>10</v>
      </c>
      <c r="F541" s="3">
        <v>609</v>
      </c>
      <c r="G541">
        <v>350501</v>
      </c>
      <c r="H541">
        <f t="shared" si="24"/>
        <v>2023</v>
      </c>
      <c r="I541" t="str">
        <f t="shared" si="25"/>
        <v>March</v>
      </c>
      <c r="J541" t="str">
        <f t="shared" si="26"/>
        <v>Q1</v>
      </c>
      <c r="K541" t="str">
        <f>TEXT(checking_account_main[[#This Row],[Date]],"mmm-yyyy")</f>
        <v>Mar-2023</v>
      </c>
      <c r="L541">
        <f>_xlfn.XLOOKUP(checking_account_main[[#This Row],[Month_Year]],checking_account_main[Month_Year],checking_account_main[Balance],"",0,-1)</f>
        <v>353739</v>
      </c>
    </row>
    <row r="542" spans="1:12" x14ac:dyDescent="0.3">
      <c r="A542" s="1">
        <v>45012</v>
      </c>
      <c r="B542" t="s">
        <v>558</v>
      </c>
      <c r="C542" t="s">
        <v>8</v>
      </c>
      <c r="D542" t="s">
        <v>9</v>
      </c>
      <c r="E542" t="s">
        <v>10</v>
      </c>
      <c r="F542" s="3">
        <v>746</v>
      </c>
      <c r="G542">
        <v>351247</v>
      </c>
      <c r="H542">
        <f t="shared" si="24"/>
        <v>2023</v>
      </c>
      <c r="I542" t="str">
        <f t="shared" si="25"/>
        <v>March</v>
      </c>
      <c r="J542" t="str">
        <f t="shared" si="26"/>
        <v>Q1</v>
      </c>
      <c r="K542" t="str">
        <f>TEXT(checking_account_main[[#This Row],[Date]],"mmm-yyyy")</f>
        <v>Mar-2023</v>
      </c>
      <c r="L542">
        <f>_xlfn.XLOOKUP(checking_account_main[[#This Row],[Month_Year]],checking_account_main[Month_Year],checking_account_main[Balance],"",0,-1)</f>
        <v>353739</v>
      </c>
    </row>
    <row r="543" spans="1:12" x14ac:dyDescent="0.3">
      <c r="A543" s="1">
        <v>45013</v>
      </c>
      <c r="B543" t="s">
        <v>559</v>
      </c>
      <c r="C543" t="s">
        <v>8</v>
      </c>
      <c r="D543" t="s">
        <v>9</v>
      </c>
      <c r="E543" t="s">
        <v>10</v>
      </c>
      <c r="F543" s="3">
        <v>763</v>
      </c>
      <c r="G543">
        <v>352010</v>
      </c>
      <c r="H543">
        <f t="shared" si="24"/>
        <v>2023</v>
      </c>
      <c r="I543" t="str">
        <f t="shared" si="25"/>
        <v>March</v>
      </c>
      <c r="J543" t="str">
        <f t="shared" si="26"/>
        <v>Q1</v>
      </c>
      <c r="K543" t="str">
        <f>TEXT(checking_account_main[[#This Row],[Date]],"mmm-yyyy")</f>
        <v>Mar-2023</v>
      </c>
      <c r="L543">
        <f>_xlfn.XLOOKUP(checking_account_main[[#This Row],[Month_Year]],checking_account_main[Month_Year],checking_account_main[Balance],"",0,-1)</f>
        <v>353739</v>
      </c>
    </row>
    <row r="544" spans="1:12" x14ac:dyDescent="0.3">
      <c r="A544" s="1">
        <v>45014</v>
      </c>
      <c r="B544" t="s">
        <v>560</v>
      </c>
      <c r="C544" t="s">
        <v>8</v>
      </c>
      <c r="D544" t="s">
        <v>9</v>
      </c>
      <c r="E544" t="s">
        <v>10</v>
      </c>
      <c r="F544" s="3">
        <v>581</v>
      </c>
      <c r="G544">
        <v>352591</v>
      </c>
      <c r="H544">
        <f t="shared" si="24"/>
        <v>2023</v>
      </c>
      <c r="I544" t="str">
        <f t="shared" si="25"/>
        <v>March</v>
      </c>
      <c r="J544" t="str">
        <f t="shared" si="26"/>
        <v>Q1</v>
      </c>
      <c r="K544" t="str">
        <f>TEXT(checking_account_main[[#This Row],[Date]],"mmm-yyyy")</f>
        <v>Mar-2023</v>
      </c>
      <c r="L544">
        <f>_xlfn.XLOOKUP(checking_account_main[[#This Row],[Month_Year]],checking_account_main[Month_Year],checking_account_main[Balance],"",0,-1)</f>
        <v>353739</v>
      </c>
    </row>
    <row r="545" spans="1:12" x14ac:dyDescent="0.3">
      <c r="A545" s="1">
        <v>45014</v>
      </c>
      <c r="B545" t="s">
        <v>561</v>
      </c>
      <c r="C545" t="s">
        <v>74</v>
      </c>
      <c r="D545" t="s">
        <v>16</v>
      </c>
      <c r="E545" t="s">
        <v>17</v>
      </c>
      <c r="F545" s="3">
        <v>279</v>
      </c>
      <c r="G545">
        <v>352312</v>
      </c>
      <c r="H545">
        <f t="shared" si="24"/>
        <v>2023</v>
      </c>
      <c r="I545" t="str">
        <f t="shared" si="25"/>
        <v>March</v>
      </c>
      <c r="J545" t="str">
        <f t="shared" si="26"/>
        <v>Q1</v>
      </c>
      <c r="K545" t="str">
        <f>TEXT(checking_account_main[[#This Row],[Date]],"mmm-yyyy")</f>
        <v>Mar-2023</v>
      </c>
      <c r="L545">
        <f>_xlfn.XLOOKUP(checking_account_main[[#This Row],[Month_Year]],checking_account_main[Month_Year],checking_account_main[Balance],"",0,-1)</f>
        <v>353739</v>
      </c>
    </row>
    <row r="546" spans="1:12" x14ac:dyDescent="0.3">
      <c r="A546" s="1">
        <v>45015</v>
      </c>
      <c r="B546" t="s">
        <v>562</v>
      </c>
      <c r="C546" t="s">
        <v>8</v>
      </c>
      <c r="D546" t="s">
        <v>9</v>
      </c>
      <c r="E546" t="s">
        <v>10</v>
      </c>
      <c r="F546" s="3">
        <v>743</v>
      </c>
      <c r="G546">
        <v>353055</v>
      </c>
      <c r="H546">
        <f t="shared" si="24"/>
        <v>2023</v>
      </c>
      <c r="I546" t="str">
        <f t="shared" si="25"/>
        <v>March</v>
      </c>
      <c r="J546" t="str">
        <f t="shared" si="26"/>
        <v>Q1</v>
      </c>
      <c r="K546" t="str">
        <f>TEXT(checking_account_main[[#This Row],[Date]],"mmm-yyyy")</f>
        <v>Mar-2023</v>
      </c>
      <c r="L546">
        <f>_xlfn.XLOOKUP(checking_account_main[[#This Row],[Month_Year]],checking_account_main[Month_Year],checking_account_main[Balance],"",0,-1)</f>
        <v>353739</v>
      </c>
    </row>
    <row r="547" spans="1:12" x14ac:dyDescent="0.3">
      <c r="A547" s="1">
        <v>45016</v>
      </c>
      <c r="B547" t="s">
        <v>563</v>
      </c>
      <c r="C547" t="s">
        <v>8</v>
      </c>
      <c r="D547" t="s">
        <v>9</v>
      </c>
      <c r="E547" t="s">
        <v>10</v>
      </c>
      <c r="F547" s="3">
        <v>684</v>
      </c>
      <c r="G547">
        <v>353739</v>
      </c>
      <c r="H547">
        <f t="shared" si="24"/>
        <v>2023</v>
      </c>
      <c r="I547" t="str">
        <f t="shared" si="25"/>
        <v>March</v>
      </c>
      <c r="J547" t="str">
        <f t="shared" si="26"/>
        <v>Q1</v>
      </c>
      <c r="K547" t="str">
        <f>TEXT(checking_account_main[[#This Row],[Date]],"mmm-yyyy")</f>
        <v>Mar-2023</v>
      </c>
      <c r="L547">
        <f>_xlfn.XLOOKUP(checking_account_main[[#This Row],[Month_Year]],checking_account_main[Month_Year],checking_account_main[Balance],"",0,-1)</f>
        <v>353739</v>
      </c>
    </row>
    <row r="548" spans="1:12" x14ac:dyDescent="0.3">
      <c r="A548" s="1">
        <v>45017</v>
      </c>
      <c r="B548" t="s">
        <v>564</v>
      </c>
      <c r="C548" t="s">
        <v>8</v>
      </c>
      <c r="D548" t="s">
        <v>9</v>
      </c>
      <c r="E548" t="s">
        <v>10</v>
      </c>
      <c r="F548" s="3">
        <v>549</v>
      </c>
      <c r="G548">
        <v>354288</v>
      </c>
      <c r="H548">
        <f t="shared" si="24"/>
        <v>2023</v>
      </c>
      <c r="I548" t="str">
        <f t="shared" si="25"/>
        <v>April</v>
      </c>
      <c r="J548" t="str">
        <f t="shared" si="26"/>
        <v>Q2</v>
      </c>
      <c r="K548" t="str">
        <f>TEXT(checking_account_main[[#This Row],[Date]],"mmm-yyyy")</f>
        <v>Apr-2023</v>
      </c>
      <c r="L548">
        <f>_xlfn.XLOOKUP(checking_account_main[[#This Row],[Month_Year]],checking_account_main[Month_Year],checking_account_main[Balance],"",0,-1)</f>
        <v>371195</v>
      </c>
    </row>
    <row r="549" spans="1:12" x14ac:dyDescent="0.3">
      <c r="A549" s="1">
        <v>45018</v>
      </c>
      <c r="B549" t="s">
        <v>565</v>
      </c>
      <c r="C549" t="s">
        <v>8</v>
      </c>
      <c r="D549" t="s">
        <v>9</v>
      </c>
      <c r="E549" t="s">
        <v>10</v>
      </c>
      <c r="F549" s="3">
        <v>769</v>
      </c>
      <c r="G549">
        <v>355057</v>
      </c>
      <c r="H549">
        <f t="shared" si="24"/>
        <v>2023</v>
      </c>
      <c r="I549" t="str">
        <f t="shared" si="25"/>
        <v>April</v>
      </c>
      <c r="J549" t="str">
        <f t="shared" si="26"/>
        <v>Q2</v>
      </c>
      <c r="K549" t="str">
        <f>TEXT(checking_account_main[[#This Row],[Date]],"mmm-yyyy")</f>
        <v>Apr-2023</v>
      </c>
      <c r="L549">
        <f>_xlfn.XLOOKUP(checking_account_main[[#This Row],[Month_Year]],checking_account_main[Month_Year],checking_account_main[Balance],"",0,-1)</f>
        <v>371195</v>
      </c>
    </row>
    <row r="550" spans="1:12" x14ac:dyDescent="0.3">
      <c r="A550" s="1">
        <v>45019</v>
      </c>
      <c r="B550" t="s">
        <v>566</v>
      </c>
      <c r="C550" t="s">
        <v>8</v>
      </c>
      <c r="D550" t="s">
        <v>9</v>
      </c>
      <c r="E550" t="s">
        <v>10</v>
      </c>
      <c r="F550" s="3">
        <v>736</v>
      </c>
      <c r="G550">
        <v>355793</v>
      </c>
      <c r="H550">
        <f t="shared" si="24"/>
        <v>2023</v>
      </c>
      <c r="I550" t="str">
        <f t="shared" si="25"/>
        <v>April</v>
      </c>
      <c r="J550" t="str">
        <f t="shared" si="26"/>
        <v>Q2</v>
      </c>
      <c r="K550" t="str">
        <f>TEXT(checking_account_main[[#This Row],[Date]],"mmm-yyyy")</f>
        <v>Apr-2023</v>
      </c>
      <c r="L550">
        <f>_xlfn.XLOOKUP(checking_account_main[[#This Row],[Month_Year]],checking_account_main[Month_Year],checking_account_main[Balance],"",0,-1)</f>
        <v>371195</v>
      </c>
    </row>
    <row r="551" spans="1:12" x14ac:dyDescent="0.3">
      <c r="A551" s="1">
        <v>45020</v>
      </c>
      <c r="B551" t="s">
        <v>567</v>
      </c>
      <c r="C551" t="s">
        <v>8</v>
      </c>
      <c r="D551" t="s">
        <v>9</v>
      </c>
      <c r="E551" t="s">
        <v>10</v>
      </c>
      <c r="F551" s="3">
        <v>576</v>
      </c>
      <c r="G551">
        <v>356369</v>
      </c>
      <c r="H551">
        <f t="shared" si="24"/>
        <v>2023</v>
      </c>
      <c r="I551" t="str">
        <f t="shared" si="25"/>
        <v>April</v>
      </c>
      <c r="J551" t="str">
        <f t="shared" si="26"/>
        <v>Q2</v>
      </c>
      <c r="K551" t="str">
        <f>TEXT(checking_account_main[[#This Row],[Date]],"mmm-yyyy")</f>
        <v>Apr-2023</v>
      </c>
      <c r="L551">
        <f>_xlfn.XLOOKUP(checking_account_main[[#This Row],[Month_Year]],checking_account_main[Month_Year],checking_account_main[Balance],"",0,-1)</f>
        <v>371195</v>
      </c>
    </row>
    <row r="552" spans="1:12" x14ac:dyDescent="0.3">
      <c r="A552" s="1">
        <v>45021</v>
      </c>
      <c r="B552" t="s">
        <v>568</v>
      </c>
      <c r="C552" t="s">
        <v>8</v>
      </c>
      <c r="D552" t="s">
        <v>9</v>
      </c>
      <c r="E552" t="s">
        <v>10</v>
      </c>
      <c r="F552" s="3">
        <v>741</v>
      </c>
      <c r="G552">
        <v>357110</v>
      </c>
      <c r="H552">
        <f t="shared" si="24"/>
        <v>2023</v>
      </c>
      <c r="I552" t="str">
        <f t="shared" si="25"/>
        <v>April</v>
      </c>
      <c r="J552" t="str">
        <f t="shared" si="26"/>
        <v>Q2</v>
      </c>
      <c r="K552" t="str">
        <f>TEXT(checking_account_main[[#This Row],[Date]],"mmm-yyyy")</f>
        <v>Apr-2023</v>
      </c>
      <c r="L552">
        <f>_xlfn.XLOOKUP(checking_account_main[[#This Row],[Month_Year]],checking_account_main[Month_Year],checking_account_main[Balance],"",0,-1)</f>
        <v>371195</v>
      </c>
    </row>
    <row r="553" spans="1:12" x14ac:dyDescent="0.3">
      <c r="A553" s="1">
        <v>45021</v>
      </c>
      <c r="B553" t="s">
        <v>569</v>
      </c>
      <c r="C553" t="s">
        <v>28</v>
      </c>
      <c r="D553" t="s">
        <v>29</v>
      </c>
      <c r="E553" t="s">
        <v>17</v>
      </c>
      <c r="F553" s="3">
        <v>288</v>
      </c>
      <c r="G553">
        <v>356822</v>
      </c>
      <c r="H553">
        <f t="shared" si="24"/>
        <v>2023</v>
      </c>
      <c r="I553" t="str">
        <f t="shared" si="25"/>
        <v>April</v>
      </c>
      <c r="J553" t="str">
        <f t="shared" si="26"/>
        <v>Q2</v>
      </c>
      <c r="K553" t="str">
        <f>TEXT(checking_account_main[[#This Row],[Date]],"mmm-yyyy")</f>
        <v>Apr-2023</v>
      </c>
      <c r="L553">
        <f>_xlfn.XLOOKUP(checking_account_main[[#This Row],[Month_Year]],checking_account_main[Month_Year],checking_account_main[Balance],"",0,-1)</f>
        <v>371195</v>
      </c>
    </row>
    <row r="554" spans="1:12" x14ac:dyDescent="0.3">
      <c r="A554" s="1">
        <v>45022</v>
      </c>
      <c r="B554" t="s">
        <v>570</v>
      </c>
      <c r="C554" t="s">
        <v>8</v>
      </c>
      <c r="D554" t="s">
        <v>9</v>
      </c>
      <c r="E554" t="s">
        <v>10</v>
      </c>
      <c r="F554" s="3">
        <v>726</v>
      </c>
      <c r="G554">
        <v>357548</v>
      </c>
      <c r="H554">
        <f t="shared" si="24"/>
        <v>2023</v>
      </c>
      <c r="I554" t="str">
        <f t="shared" si="25"/>
        <v>April</v>
      </c>
      <c r="J554" t="str">
        <f t="shared" si="26"/>
        <v>Q2</v>
      </c>
      <c r="K554" t="str">
        <f>TEXT(checking_account_main[[#This Row],[Date]],"mmm-yyyy")</f>
        <v>Apr-2023</v>
      </c>
      <c r="L554">
        <f>_xlfn.XLOOKUP(checking_account_main[[#This Row],[Month_Year]],checking_account_main[Month_Year],checking_account_main[Balance],"",0,-1)</f>
        <v>371195</v>
      </c>
    </row>
    <row r="555" spans="1:12" x14ac:dyDescent="0.3">
      <c r="A555" s="1">
        <v>45023</v>
      </c>
      <c r="B555" t="s">
        <v>571</v>
      </c>
      <c r="C555" t="s">
        <v>8</v>
      </c>
      <c r="D555" t="s">
        <v>9</v>
      </c>
      <c r="E555" t="s">
        <v>10</v>
      </c>
      <c r="F555" s="3">
        <v>540</v>
      </c>
      <c r="G555">
        <v>358088</v>
      </c>
      <c r="H555">
        <f t="shared" si="24"/>
        <v>2023</v>
      </c>
      <c r="I555" t="str">
        <f t="shared" si="25"/>
        <v>April</v>
      </c>
      <c r="J555" t="str">
        <f t="shared" si="26"/>
        <v>Q2</v>
      </c>
      <c r="K555" t="str">
        <f>TEXT(checking_account_main[[#This Row],[Date]],"mmm-yyyy")</f>
        <v>Apr-2023</v>
      </c>
      <c r="L555">
        <f>_xlfn.XLOOKUP(checking_account_main[[#This Row],[Month_Year]],checking_account_main[Month_Year],checking_account_main[Balance],"",0,-1)</f>
        <v>371195</v>
      </c>
    </row>
    <row r="556" spans="1:12" x14ac:dyDescent="0.3">
      <c r="A556" s="1">
        <v>45024</v>
      </c>
      <c r="B556" t="s">
        <v>572</v>
      </c>
      <c r="C556" t="s">
        <v>8</v>
      </c>
      <c r="D556" t="s">
        <v>9</v>
      </c>
      <c r="E556" t="s">
        <v>10</v>
      </c>
      <c r="F556" s="3">
        <v>778</v>
      </c>
      <c r="G556">
        <v>358866</v>
      </c>
      <c r="H556">
        <f t="shared" si="24"/>
        <v>2023</v>
      </c>
      <c r="I556" t="str">
        <f t="shared" si="25"/>
        <v>April</v>
      </c>
      <c r="J556" t="str">
        <f t="shared" si="26"/>
        <v>Q2</v>
      </c>
      <c r="K556" t="str">
        <f>TEXT(checking_account_main[[#This Row],[Date]],"mmm-yyyy")</f>
        <v>Apr-2023</v>
      </c>
      <c r="L556">
        <f>_xlfn.XLOOKUP(checking_account_main[[#This Row],[Month_Year]],checking_account_main[Month_Year],checking_account_main[Balance],"",0,-1)</f>
        <v>371195</v>
      </c>
    </row>
    <row r="557" spans="1:12" x14ac:dyDescent="0.3">
      <c r="A557" s="1">
        <v>45025</v>
      </c>
      <c r="B557" t="s">
        <v>573</v>
      </c>
      <c r="C557" t="s">
        <v>8</v>
      </c>
      <c r="D557" t="s">
        <v>9</v>
      </c>
      <c r="E557" t="s">
        <v>10</v>
      </c>
      <c r="F557" s="3">
        <v>717</v>
      </c>
      <c r="G557">
        <v>359583</v>
      </c>
      <c r="H557">
        <f t="shared" si="24"/>
        <v>2023</v>
      </c>
      <c r="I557" t="str">
        <f t="shared" si="25"/>
        <v>April</v>
      </c>
      <c r="J557" t="str">
        <f t="shared" si="26"/>
        <v>Q2</v>
      </c>
      <c r="K557" t="str">
        <f>TEXT(checking_account_main[[#This Row],[Date]],"mmm-yyyy")</f>
        <v>Apr-2023</v>
      </c>
      <c r="L557">
        <f>_xlfn.XLOOKUP(checking_account_main[[#This Row],[Month_Year]],checking_account_main[Month_Year],checking_account_main[Balance],"",0,-1)</f>
        <v>371195</v>
      </c>
    </row>
    <row r="558" spans="1:12" x14ac:dyDescent="0.3">
      <c r="A558" s="1">
        <v>45026</v>
      </c>
      <c r="B558" t="s">
        <v>574</v>
      </c>
      <c r="C558" t="s">
        <v>8</v>
      </c>
      <c r="D558" t="s">
        <v>9</v>
      </c>
      <c r="E558" t="s">
        <v>10</v>
      </c>
      <c r="F558" s="3">
        <v>684</v>
      </c>
      <c r="G558">
        <v>360267</v>
      </c>
      <c r="H558">
        <f t="shared" si="24"/>
        <v>2023</v>
      </c>
      <c r="I558" t="str">
        <f t="shared" si="25"/>
        <v>April</v>
      </c>
      <c r="J558" t="str">
        <f t="shared" si="26"/>
        <v>Q2</v>
      </c>
      <c r="K558" t="str">
        <f>TEXT(checking_account_main[[#This Row],[Date]],"mmm-yyyy")</f>
        <v>Apr-2023</v>
      </c>
      <c r="L558">
        <f>_xlfn.XLOOKUP(checking_account_main[[#This Row],[Month_Year]],checking_account_main[Month_Year],checking_account_main[Balance],"",0,-1)</f>
        <v>371195</v>
      </c>
    </row>
    <row r="559" spans="1:12" x14ac:dyDescent="0.3">
      <c r="A559" s="1">
        <v>45027</v>
      </c>
      <c r="B559" t="s">
        <v>575</v>
      </c>
      <c r="C559" t="s">
        <v>8</v>
      </c>
      <c r="D559" t="s">
        <v>9</v>
      </c>
      <c r="E559" t="s">
        <v>10</v>
      </c>
      <c r="F559" s="3">
        <v>685</v>
      </c>
      <c r="G559">
        <v>360952</v>
      </c>
      <c r="H559">
        <f t="shared" si="24"/>
        <v>2023</v>
      </c>
      <c r="I559" t="str">
        <f t="shared" si="25"/>
        <v>April</v>
      </c>
      <c r="J559" t="str">
        <f t="shared" si="26"/>
        <v>Q2</v>
      </c>
      <c r="K559" t="str">
        <f>TEXT(checking_account_main[[#This Row],[Date]],"mmm-yyyy")</f>
        <v>Apr-2023</v>
      </c>
      <c r="L559">
        <f>_xlfn.XLOOKUP(checking_account_main[[#This Row],[Month_Year]],checking_account_main[Month_Year],checking_account_main[Balance],"",0,-1)</f>
        <v>371195</v>
      </c>
    </row>
    <row r="560" spans="1:12" x14ac:dyDescent="0.3">
      <c r="A560" s="1">
        <v>45028</v>
      </c>
      <c r="B560" t="s">
        <v>576</v>
      </c>
      <c r="C560" t="s">
        <v>8</v>
      </c>
      <c r="D560" t="s">
        <v>9</v>
      </c>
      <c r="E560" t="s">
        <v>10</v>
      </c>
      <c r="F560" s="3">
        <v>418</v>
      </c>
      <c r="G560">
        <v>361370</v>
      </c>
      <c r="H560">
        <f t="shared" si="24"/>
        <v>2023</v>
      </c>
      <c r="I560" t="str">
        <f t="shared" si="25"/>
        <v>April</v>
      </c>
      <c r="J560" t="str">
        <f t="shared" si="26"/>
        <v>Q2</v>
      </c>
      <c r="K560" t="str">
        <f>TEXT(checking_account_main[[#This Row],[Date]],"mmm-yyyy")</f>
        <v>Apr-2023</v>
      </c>
      <c r="L560">
        <f>_xlfn.XLOOKUP(checking_account_main[[#This Row],[Month_Year]],checking_account_main[Month_Year],checking_account_main[Balance],"",0,-1)</f>
        <v>371195</v>
      </c>
    </row>
    <row r="561" spans="1:12" x14ac:dyDescent="0.3">
      <c r="A561" s="1">
        <v>45028</v>
      </c>
      <c r="B561" t="s">
        <v>577</v>
      </c>
      <c r="C561" t="s">
        <v>15</v>
      </c>
      <c r="D561" t="s">
        <v>16</v>
      </c>
      <c r="E561" t="s">
        <v>17</v>
      </c>
      <c r="F561" s="3">
        <v>177</v>
      </c>
      <c r="G561">
        <v>361193</v>
      </c>
      <c r="H561">
        <f t="shared" si="24"/>
        <v>2023</v>
      </c>
      <c r="I561" t="str">
        <f t="shared" si="25"/>
        <v>April</v>
      </c>
      <c r="J561" t="str">
        <f t="shared" si="26"/>
        <v>Q2</v>
      </c>
      <c r="K561" t="str">
        <f>TEXT(checking_account_main[[#This Row],[Date]],"mmm-yyyy")</f>
        <v>Apr-2023</v>
      </c>
      <c r="L561">
        <f>_xlfn.XLOOKUP(checking_account_main[[#This Row],[Month_Year]],checking_account_main[Month_Year],checking_account_main[Balance],"",0,-1)</f>
        <v>371195</v>
      </c>
    </row>
    <row r="562" spans="1:12" x14ac:dyDescent="0.3">
      <c r="A562" s="1">
        <v>45029</v>
      </c>
      <c r="B562" t="s">
        <v>578</v>
      </c>
      <c r="C562" t="s">
        <v>8</v>
      </c>
      <c r="D562" t="s">
        <v>9</v>
      </c>
      <c r="E562" t="s">
        <v>10</v>
      </c>
      <c r="F562" s="3">
        <v>574</v>
      </c>
      <c r="G562">
        <v>361767</v>
      </c>
      <c r="H562">
        <f t="shared" si="24"/>
        <v>2023</v>
      </c>
      <c r="I562" t="str">
        <f t="shared" si="25"/>
        <v>April</v>
      </c>
      <c r="J562" t="str">
        <f t="shared" si="26"/>
        <v>Q2</v>
      </c>
      <c r="K562" t="str">
        <f>TEXT(checking_account_main[[#This Row],[Date]],"mmm-yyyy")</f>
        <v>Apr-2023</v>
      </c>
      <c r="L562">
        <f>_xlfn.XLOOKUP(checking_account_main[[#This Row],[Month_Year]],checking_account_main[Month_Year],checking_account_main[Balance],"",0,-1)</f>
        <v>371195</v>
      </c>
    </row>
    <row r="563" spans="1:12" x14ac:dyDescent="0.3">
      <c r="A563" s="1">
        <v>45030</v>
      </c>
      <c r="B563" t="s">
        <v>579</v>
      </c>
      <c r="C563" t="s">
        <v>8</v>
      </c>
      <c r="D563" t="s">
        <v>9</v>
      </c>
      <c r="E563" t="s">
        <v>10</v>
      </c>
      <c r="F563" s="3">
        <v>512</v>
      </c>
      <c r="G563">
        <v>362279</v>
      </c>
      <c r="H563">
        <f t="shared" si="24"/>
        <v>2023</v>
      </c>
      <c r="I563" t="str">
        <f t="shared" si="25"/>
        <v>April</v>
      </c>
      <c r="J563" t="str">
        <f t="shared" si="26"/>
        <v>Q2</v>
      </c>
      <c r="K563" t="str">
        <f>TEXT(checking_account_main[[#This Row],[Date]],"mmm-yyyy")</f>
        <v>Apr-2023</v>
      </c>
      <c r="L563">
        <f>_xlfn.XLOOKUP(checking_account_main[[#This Row],[Month_Year]],checking_account_main[Month_Year],checking_account_main[Balance],"",0,-1)</f>
        <v>371195</v>
      </c>
    </row>
    <row r="564" spans="1:12" x14ac:dyDescent="0.3">
      <c r="A564" s="1">
        <v>45031</v>
      </c>
      <c r="B564" t="s">
        <v>580</v>
      </c>
      <c r="C564" t="s">
        <v>8</v>
      </c>
      <c r="D564" t="s">
        <v>9</v>
      </c>
      <c r="E564" t="s">
        <v>10</v>
      </c>
      <c r="F564" s="3">
        <v>565</v>
      </c>
      <c r="G564">
        <v>362844</v>
      </c>
      <c r="H564">
        <f t="shared" si="24"/>
        <v>2023</v>
      </c>
      <c r="I564" t="str">
        <f t="shared" si="25"/>
        <v>April</v>
      </c>
      <c r="J564" t="str">
        <f t="shared" si="26"/>
        <v>Q2</v>
      </c>
      <c r="K564" t="str">
        <f>TEXT(checking_account_main[[#This Row],[Date]],"mmm-yyyy")</f>
        <v>Apr-2023</v>
      </c>
      <c r="L564">
        <f>_xlfn.XLOOKUP(checking_account_main[[#This Row],[Month_Year]],checking_account_main[Month_Year],checking_account_main[Balance],"",0,-1)</f>
        <v>371195</v>
      </c>
    </row>
    <row r="565" spans="1:12" x14ac:dyDescent="0.3">
      <c r="A565" s="1">
        <v>45032</v>
      </c>
      <c r="B565" t="s">
        <v>581</v>
      </c>
      <c r="C565" t="s">
        <v>8</v>
      </c>
      <c r="D565" t="s">
        <v>9</v>
      </c>
      <c r="E565" t="s">
        <v>10</v>
      </c>
      <c r="F565" s="3">
        <v>531</v>
      </c>
      <c r="G565">
        <v>363375</v>
      </c>
      <c r="H565">
        <f t="shared" si="24"/>
        <v>2023</v>
      </c>
      <c r="I565" t="str">
        <f t="shared" si="25"/>
        <v>April</v>
      </c>
      <c r="J565" t="str">
        <f t="shared" si="26"/>
        <v>Q2</v>
      </c>
      <c r="K565" t="str">
        <f>TEXT(checking_account_main[[#This Row],[Date]],"mmm-yyyy")</f>
        <v>Apr-2023</v>
      </c>
      <c r="L565">
        <f>_xlfn.XLOOKUP(checking_account_main[[#This Row],[Month_Year]],checking_account_main[Month_Year],checking_account_main[Balance],"",0,-1)</f>
        <v>371195</v>
      </c>
    </row>
    <row r="566" spans="1:12" x14ac:dyDescent="0.3">
      <c r="A566" s="1">
        <v>45032</v>
      </c>
      <c r="B566" t="s">
        <v>582</v>
      </c>
      <c r="C566" t="s">
        <v>15</v>
      </c>
      <c r="D566" t="s">
        <v>16</v>
      </c>
      <c r="E566" t="s">
        <v>17</v>
      </c>
      <c r="F566" s="3">
        <v>154</v>
      </c>
      <c r="G566">
        <v>363221</v>
      </c>
      <c r="H566">
        <f t="shared" si="24"/>
        <v>2023</v>
      </c>
      <c r="I566" t="str">
        <f t="shared" si="25"/>
        <v>April</v>
      </c>
      <c r="J566" t="str">
        <f t="shared" si="26"/>
        <v>Q2</v>
      </c>
      <c r="K566" t="str">
        <f>TEXT(checking_account_main[[#This Row],[Date]],"mmm-yyyy")</f>
        <v>Apr-2023</v>
      </c>
      <c r="L566">
        <f>_xlfn.XLOOKUP(checking_account_main[[#This Row],[Month_Year]],checking_account_main[Month_Year],checking_account_main[Balance],"",0,-1)</f>
        <v>371195</v>
      </c>
    </row>
    <row r="567" spans="1:12" x14ac:dyDescent="0.3">
      <c r="A567" s="1">
        <v>45033</v>
      </c>
      <c r="B567" t="s">
        <v>583</v>
      </c>
      <c r="C567" t="s">
        <v>8</v>
      </c>
      <c r="D567" t="s">
        <v>9</v>
      </c>
      <c r="E567" t="s">
        <v>10</v>
      </c>
      <c r="F567" s="3">
        <v>687</v>
      </c>
      <c r="G567">
        <v>363908</v>
      </c>
      <c r="H567">
        <f t="shared" si="24"/>
        <v>2023</v>
      </c>
      <c r="I567" t="str">
        <f t="shared" si="25"/>
        <v>April</v>
      </c>
      <c r="J567" t="str">
        <f t="shared" si="26"/>
        <v>Q2</v>
      </c>
      <c r="K567" t="str">
        <f>TEXT(checking_account_main[[#This Row],[Date]],"mmm-yyyy")</f>
        <v>Apr-2023</v>
      </c>
      <c r="L567">
        <f>_xlfn.XLOOKUP(checking_account_main[[#This Row],[Month_Year]],checking_account_main[Month_Year],checking_account_main[Balance],"",0,-1)</f>
        <v>371195</v>
      </c>
    </row>
    <row r="568" spans="1:12" x14ac:dyDescent="0.3">
      <c r="A568" s="1">
        <v>45034</v>
      </c>
      <c r="B568" t="s">
        <v>584</v>
      </c>
      <c r="C568" t="s">
        <v>8</v>
      </c>
      <c r="D568" t="s">
        <v>9</v>
      </c>
      <c r="E568" t="s">
        <v>10</v>
      </c>
      <c r="F568" s="3">
        <v>765</v>
      </c>
      <c r="G568">
        <v>364673</v>
      </c>
      <c r="H568">
        <f t="shared" si="24"/>
        <v>2023</v>
      </c>
      <c r="I568" t="str">
        <f t="shared" si="25"/>
        <v>April</v>
      </c>
      <c r="J568" t="str">
        <f t="shared" si="26"/>
        <v>Q2</v>
      </c>
      <c r="K568" t="str">
        <f>TEXT(checking_account_main[[#This Row],[Date]],"mmm-yyyy")</f>
        <v>Apr-2023</v>
      </c>
      <c r="L568">
        <f>_xlfn.XLOOKUP(checking_account_main[[#This Row],[Month_Year]],checking_account_main[Month_Year],checking_account_main[Balance],"",0,-1)</f>
        <v>371195</v>
      </c>
    </row>
    <row r="569" spans="1:12" x14ac:dyDescent="0.3">
      <c r="A569" s="1">
        <v>45035</v>
      </c>
      <c r="B569" t="s">
        <v>585</v>
      </c>
      <c r="C569" t="s">
        <v>8</v>
      </c>
      <c r="D569" t="s">
        <v>9</v>
      </c>
      <c r="E569" t="s">
        <v>10</v>
      </c>
      <c r="F569" s="3">
        <v>486</v>
      </c>
      <c r="G569">
        <v>365159</v>
      </c>
      <c r="H569">
        <f t="shared" si="24"/>
        <v>2023</v>
      </c>
      <c r="I569" t="str">
        <f t="shared" si="25"/>
        <v>April</v>
      </c>
      <c r="J569" t="str">
        <f t="shared" si="26"/>
        <v>Q2</v>
      </c>
      <c r="K569" t="str">
        <f>TEXT(checking_account_main[[#This Row],[Date]],"mmm-yyyy")</f>
        <v>Apr-2023</v>
      </c>
      <c r="L569">
        <f>_xlfn.XLOOKUP(checking_account_main[[#This Row],[Month_Year]],checking_account_main[Month_Year],checking_account_main[Balance],"",0,-1)</f>
        <v>371195</v>
      </c>
    </row>
    <row r="570" spans="1:12" x14ac:dyDescent="0.3">
      <c r="A570" s="1">
        <v>45036</v>
      </c>
      <c r="B570" t="s">
        <v>586</v>
      </c>
      <c r="C570" t="s">
        <v>8</v>
      </c>
      <c r="D570" t="s">
        <v>9</v>
      </c>
      <c r="E570" t="s">
        <v>10</v>
      </c>
      <c r="F570" s="3">
        <v>687</v>
      </c>
      <c r="G570">
        <v>365846</v>
      </c>
      <c r="H570">
        <f t="shared" si="24"/>
        <v>2023</v>
      </c>
      <c r="I570" t="str">
        <f t="shared" si="25"/>
        <v>April</v>
      </c>
      <c r="J570" t="str">
        <f t="shared" si="26"/>
        <v>Q2</v>
      </c>
      <c r="K570" t="str">
        <f>TEXT(checking_account_main[[#This Row],[Date]],"mmm-yyyy")</f>
        <v>Apr-2023</v>
      </c>
      <c r="L570">
        <f>_xlfn.XLOOKUP(checking_account_main[[#This Row],[Month_Year]],checking_account_main[Month_Year],checking_account_main[Balance],"",0,-1)</f>
        <v>371195</v>
      </c>
    </row>
    <row r="571" spans="1:12" x14ac:dyDescent="0.3">
      <c r="A571" s="1">
        <v>45037</v>
      </c>
      <c r="B571" t="s">
        <v>587</v>
      </c>
      <c r="C571" t="s">
        <v>8</v>
      </c>
      <c r="D571" t="s">
        <v>9</v>
      </c>
      <c r="E571" t="s">
        <v>10</v>
      </c>
      <c r="F571" s="3">
        <v>748</v>
      </c>
      <c r="G571">
        <v>366594</v>
      </c>
      <c r="H571">
        <f t="shared" si="24"/>
        <v>2023</v>
      </c>
      <c r="I571" t="str">
        <f t="shared" si="25"/>
        <v>April</v>
      </c>
      <c r="J571" t="str">
        <f t="shared" si="26"/>
        <v>Q2</v>
      </c>
      <c r="K571" t="str">
        <f>TEXT(checking_account_main[[#This Row],[Date]],"mmm-yyyy")</f>
        <v>Apr-2023</v>
      </c>
      <c r="L571">
        <f>_xlfn.XLOOKUP(checking_account_main[[#This Row],[Month_Year]],checking_account_main[Month_Year],checking_account_main[Balance],"",0,-1)</f>
        <v>371195</v>
      </c>
    </row>
    <row r="572" spans="1:12" x14ac:dyDescent="0.3">
      <c r="A572" s="1">
        <v>45038</v>
      </c>
      <c r="B572" t="s">
        <v>588</v>
      </c>
      <c r="C572" t="s">
        <v>8</v>
      </c>
      <c r="D572" t="s">
        <v>9</v>
      </c>
      <c r="E572" t="s">
        <v>10</v>
      </c>
      <c r="F572" s="3">
        <v>712</v>
      </c>
      <c r="G572">
        <v>367306</v>
      </c>
      <c r="H572">
        <f t="shared" si="24"/>
        <v>2023</v>
      </c>
      <c r="I572" t="str">
        <f t="shared" si="25"/>
        <v>April</v>
      </c>
      <c r="J572" t="str">
        <f t="shared" si="26"/>
        <v>Q2</v>
      </c>
      <c r="K572" t="str">
        <f>TEXT(checking_account_main[[#This Row],[Date]],"mmm-yyyy")</f>
        <v>Apr-2023</v>
      </c>
      <c r="L572">
        <f>_xlfn.XLOOKUP(checking_account_main[[#This Row],[Month_Year]],checking_account_main[Month_Year],checking_account_main[Balance],"",0,-1)</f>
        <v>371195</v>
      </c>
    </row>
    <row r="573" spans="1:12" x14ac:dyDescent="0.3">
      <c r="A573" s="1">
        <v>45039</v>
      </c>
      <c r="B573" t="s">
        <v>589</v>
      </c>
      <c r="C573" t="s">
        <v>8</v>
      </c>
      <c r="D573" t="s">
        <v>9</v>
      </c>
      <c r="E573" t="s">
        <v>10</v>
      </c>
      <c r="F573" s="3">
        <v>654</v>
      </c>
      <c r="G573">
        <v>367960</v>
      </c>
      <c r="H573">
        <f t="shared" si="24"/>
        <v>2023</v>
      </c>
      <c r="I573" t="str">
        <f t="shared" si="25"/>
        <v>April</v>
      </c>
      <c r="J573" t="str">
        <f t="shared" si="26"/>
        <v>Q2</v>
      </c>
      <c r="K573" t="str">
        <f>TEXT(checking_account_main[[#This Row],[Date]],"mmm-yyyy")</f>
        <v>Apr-2023</v>
      </c>
      <c r="L573">
        <f>_xlfn.XLOOKUP(checking_account_main[[#This Row],[Month_Year]],checking_account_main[Month_Year],checking_account_main[Balance],"",0,-1)</f>
        <v>371195</v>
      </c>
    </row>
    <row r="574" spans="1:12" x14ac:dyDescent="0.3">
      <c r="A574" s="1">
        <v>45039</v>
      </c>
      <c r="B574" t="s">
        <v>590</v>
      </c>
      <c r="C574" t="s">
        <v>28</v>
      </c>
      <c r="D574" t="s">
        <v>29</v>
      </c>
      <c r="E574" t="s">
        <v>17</v>
      </c>
      <c r="F574" s="3">
        <v>153</v>
      </c>
      <c r="G574">
        <v>367807</v>
      </c>
      <c r="H574">
        <f t="shared" si="24"/>
        <v>2023</v>
      </c>
      <c r="I574" t="str">
        <f t="shared" si="25"/>
        <v>April</v>
      </c>
      <c r="J574" t="str">
        <f t="shared" si="26"/>
        <v>Q2</v>
      </c>
      <c r="K574" t="str">
        <f>TEXT(checking_account_main[[#This Row],[Date]],"mmm-yyyy")</f>
        <v>Apr-2023</v>
      </c>
      <c r="L574">
        <f>_xlfn.XLOOKUP(checking_account_main[[#This Row],[Month_Year]],checking_account_main[Month_Year],checking_account_main[Balance],"",0,-1)</f>
        <v>371195</v>
      </c>
    </row>
    <row r="575" spans="1:12" x14ac:dyDescent="0.3">
      <c r="A575" s="1">
        <v>45040</v>
      </c>
      <c r="B575" t="s">
        <v>591</v>
      </c>
      <c r="C575" t="s">
        <v>8</v>
      </c>
      <c r="D575" t="s">
        <v>9</v>
      </c>
      <c r="E575" t="s">
        <v>10</v>
      </c>
      <c r="F575" s="3">
        <v>638</v>
      </c>
      <c r="G575">
        <v>368445</v>
      </c>
      <c r="H575">
        <f t="shared" si="24"/>
        <v>2023</v>
      </c>
      <c r="I575" t="str">
        <f t="shared" si="25"/>
        <v>April</v>
      </c>
      <c r="J575" t="str">
        <f t="shared" si="26"/>
        <v>Q2</v>
      </c>
      <c r="K575" t="str">
        <f>TEXT(checking_account_main[[#This Row],[Date]],"mmm-yyyy")</f>
        <v>Apr-2023</v>
      </c>
      <c r="L575">
        <f>_xlfn.XLOOKUP(checking_account_main[[#This Row],[Month_Year]],checking_account_main[Month_Year],checking_account_main[Balance],"",0,-1)</f>
        <v>371195</v>
      </c>
    </row>
    <row r="576" spans="1:12" x14ac:dyDescent="0.3">
      <c r="A576" s="1">
        <v>45041</v>
      </c>
      <c r="B576" t="s">
        <v>592</v>
      </c>
      <c r="C576" t="s">
        <v>8</v>
      </c>
      <c r="D576" t="s">
        <v>9</v>
      </c>
      <c r="E576" t="s">
        <v>10</v>
      </c>
      <c r="F576" s="3">
        <v>450</v>
      </c>
      <c r="G576">
        <v>368895</v>
      </c>
      <c r="H576">
        <f t="shared" si="24"/>
        <v>2023</v>
      </c>
      <c r="I576" t="str">
        <f t="shared" si="25"/>
        <v>April</v>
      </c>
      <c r="J576" t="str">
        <f t="shared" si="26"/>
        <v>Q2</v>
      </c>
      <c r="K576" t="str">
        <f>TEXT(checking_account_main[[#This Row],[Date]],"mmm-yyyy")</f>
        <v>Apr-2023</v>
      </c>
      <c r="L576">
        <f>_xlfn.XLOOKUP(checking_account_main[[#This Row],[Month_Year]],checking_account_main[Month_Year],checking_account_main[Balance],"",0,-1)</f>
        <v>371195</v>
      </c>
    </row>
    <row r="577" spans="1:12" x14ac:dyDescent="0.3">
      <c r="A577" s="1">
        <v>45042</v>
      </c>
      <c r="B577" t="s">
        <v>593</v>
      </c>
      <c r="C577" t="s">
        <v>8</v>
      </c>
      <c r="D577" t="s">
        <v>9</v>
      </c>
      <c r="E577" t="s">
        <v>10</v>
      </c>
      <c r="F577" s="3">
        <v>663</v>
      </c>
      <c r="G577">
        <v>369558</v>
      </c>
      <c r="H577">
        <f t="shared" si="24"/>
        <v>2023</v>
      </c>
      <c r="I577" t="str">
        <f t="shared" si="25"/>
        <v>April</v>
      </c>
      <c r="J577" t="str">
        <f t="shared" si="26"/>
        <v>Q2</v>
      </c>
      <c r="K577" t="str">
        <f>TEXT(checking_account_main[[#This Row],[Date]],"mmm-yyyy")</f>
        <v>Apr-2023</v>
      </c>
      <c r="L577">
        <f>_xlfn.XLOOKUP(checking_account_main[[#This Row],[Month_Year]],checking_account_main[Month_Year],checking_account_main[Balance],"",0,-1)</f>
        <v>371195</v>
      </c>
    </row>
    <row r="578" spans="1:12" x14ac:dyDescent="0.3">
      <c r="A578" s="1">
        <v>45042</v>
      </c>
      <c r="B578" t="s">
        <v>594</v>
      </c>
      <c r="C578" t="s">
        <v>15</v>
      </c>
      <c r="D578" t="s">
        <v>16</v>
      </c>
      <c r="E578" t="s">
        <v>17</v>
      </c>
      <c r="F578" s="3">
        <v>195</v>
      </c>
      <c r="G578">
        <v>369363</v>
      </c>
      <c r="H578">
        <f t="shared" ref="H578:H641" si="27">YEAR(A578)</f>
        <v>2023</v>
      </c>
      <c r="I578" t="str">
        <f t="shared" ref="I578:I641" si="28">TEXT(A578,"mmmm")</f>
        <v>April</v>
      </c>
      <c r="J578" t="str">
        <f t="shared" ref="J578:J641" si="29">"Q"&amp;ROUNDUP(MONTH(A578)/3,0)</f>
        <v>Q2</v>
      </c>
      <c r="K578" t="str">
        <f>TEXT(checking_account_main[[#This Row],[Date]],"mmm-yyyy")</f>
        <v>Apr-2023</v>
      </c>
      <c r="L578">
        <f>_xlfn.XLOOKUP(checking_account_main[[#This Row],[Month_Year]],checking_account_main[Month_Year],checking_account_main[Balance],"",0,-1)</f>
        <v>371195</v>
      </c>
    </row>
    <row r="579" spans="1:12" x14ac:dyDescent="0.3">
      <c r="A579" s="1">
        <v>45043</v>
      </c>
      <c r="B579" t="s">
        <v>595</v>
      </c>
      <c r="C579" t="s">
        <v>8</v>
      </c>
      <c r="D579" t="s">
        <v>9</v>
      </c>
      <c r="E579" t="s">
        <v>10</v>
      </c>
      <c r="F579" s="3">
        <v>799</v>
      </c>
      <c r="G579">
        <v>370162</v>
      </c>
      <c r="H579">
        <f t="shared" si="27"/>
        <v>2023</v>
      </c>
      <c r="I579" t="str">
        <f t="shared" si="28"/>
        <v>April</v>
      </c>
      <c r="J579" t="str">
        <f t="shared" si="29"/>
        <v>Q2</v>
      </c>
      <c r="K579" t="str">
        <f>TEXT(checking_account_main[[#This Row],[Date]],"mmm-yyyy")</f>
        <v>Apr-2023</v>
      </c>
      <c r="L579">
        <f>_xlfn.XLOOKUP(checking_account_main[[#This Row],[Month_Year]],checking_account_main[Month_Year],checking_account_main[Balance],"",0,-1)</f>
        <v>371195</v>
      </c>
    </row>
    <row r="580" spans="1:12" x14ac:dyDescent="0.3">
      <c r="A580" s="1">
        <v>45044</v>
      </c>
      <c r="B580" t="s">
        <v>596</v>
      </c>
      <c r="C580" t="s">
        <v>8</v>
      </c>
      <c r="D580" t="s">
        <v>9</v>
      </c>
      <c r="E580" t="s">
        <v>10</v>
      </c>
      <c r="F580" s="3">
        <v>564</v>
      </c>
      <c r="G580">
        <v>370726</v>
      </c>
      <c r="H580">
        <f t="shared" si="27"/>
        <v>2023</v>
      </c>
      <c r="I580" t="str">
        <f t="shared" si="28"/>
        <v>April</v>
      </c>
      <c r="J580" t="str">
        <f t="shared" si="29"/>
        <v>Q2</v>
      </c>
      <c r="K580" t="str">
        <f>TEXT(checking_account_main[[#This Row],[Date]],"mmm-yyyy")</f>
        <v>Apr-2023</v>
      </c>
      <c r="L580">
        <f>_xlfn.XLOOKUP(checking_account_main[[#This Row],[Month_Year]],checking_account_main[Month_Year],checking_account_main[Balance],"",0,-1)</f>
        <v>371195</v>
      </c>
    </row>
    <row r="581" spans="1:12" x14ac:dyDescent="0.3">
      <c r="A581" s="1">
        <v>45044</v>
      </c>
      <c r="B581" t="s">
        <v>597</v>
      </c>
      <c r="C581" t="s">
        <v>47</v>
      </c>
      <c r="D581" t="s">
        <v>29</v>
      </c>
      <c r="E581" t="s">
        <v>17</v>
      </c>
      <c r="F581" s="3">
        <v>497</v>
      </c>
      <c r="G581">
        <v>370229</v>
      </c>
      <c r="H581">
        <f t="shared" si="27"/>
        <v>2023</v>
      </c>
      <c r="I581" t="str">
        <f t="shared" si="28"/>
        <v>April</v>
      </c>
      <c r="J581" t="str">
        <f t="shared" si="29"/>
        <v>Q2</v>
      </c>
      <c r="K581" t="str">
        <f>TEXT(checking_account_main[[#This Row],[Date]],"mmm-yyyy")</f>
        <v>Apr-2023</v>
      </c>
      <c r="L581">
        <f>_xlfn.XLOOKUP(checking_account_main[[#This Row],[Month_Year]],checking_account_main[Month_Year],checking_account_main[Balance],"",0,-1)</f>
        <v>371195</v>
      </c>
    </row>
    <row r="582" spans="1:12" x14ac:dyDescent="0.3">
      <c r="A582" s="1">
        <v>45045</v>
      </c>
      <c r="B582" t="s">
        <v>598</v>
      </c>
      <c r="C582" t="s">
        <v>8</v>
      </c>
      <c r="D582" t="s">
        <v>9</v>
      </c>
      <c r="E582" t="s">
        <v>10</v>
      </c>
      <c r="F582" s="3">
        <v>406</v>
      </c>
      <c r="G582">
        <v>370635</v>
      </c>
      <c r="H582">
        <f t="shared" si="27"/>
        <v>2023</v>
      </c>
      <c r="I582" t="str">
        <f t="shared" si="28"/>
        <v>April</v>
      </c>
      <c r="J582" t="str">
        <f t="shared" si="29"/>
        <v>Q2</v>
      </c>
      <c r="K582" t="str">
        <f>TEXT(checking_account_main[[#This Row],[Date]],"mmm-yyyy")</f>
        <v>Apr-2023</v>
      </c>
      <c r="L582">
        <f>_xlfn.XLOOKUP(checking_account_main[[#This Row],[Month_Year]],checking_account_main[Month_Year],checking_account_main[Balance],"",0,-1)</f>
        <v>371195</v>
      </c>
    </row>
    <row r="583" spans="1:12" x14ac:dyDescent="0.3">
      <c r="A583" s="1">
        <v>45046</v>
      </c>
      <c r="B583" t="s">
        <v>599</v>
      </c>
      <c r="C583" t="s">
        <v>8</v>
      </c>
      <c r="D583" t="s">
        <v>9</v>
      </c>
      <c r="E583" t="s">
        <v>10</v>
      </c>
      <c r="F583" s="3">
        <v>560</v>
      </c>
      <c r="G583">
        <v>371195</v>
      </c>
      <c r="H583">
        <f t="shared" si="27"/>
        <v>2023</v>
      </c>
      <c r="I583" t="str">
        <f t="shared" si="28"/>
        <v>April</v>
      </c>
      <c r="J583" t="str">
        <f t="shared" si="29"/>
        <v>Q2</v>
      </c>
      <c r="K583" t="str">
        <f>TEXT(checking_account_main[[#This Row],[Date]],"mmm-yyyy")</f>
        <v>Apr-2023</v>
      </c>
      <c r="L583">
        <f>_xlfn.XLOOKUP(checking_account_main[[#This Row],[Month_Year]],checking_account_main[Month_Year],checking_account_main[Balance],"",0,-1)</f>
        <v>371195</v>
      </c>
    </row>
    <row r="584" spans="1:12" x14ac:dyDescent="0.3">
      <c r="A584" s="1">
        <v>45047</v>
      </c>
      <c r="B584" t="s">
        <v>600</v>
      </c>
      <c r="C584" t="s">
        <v>8</v>
      </c>
      <c r="D584" t="s">
        <v>9</v>
      </c>
      <c r="E584" t="s">
        <v>10</v>
      </c>
      <c r="F584" s="3">
        <v>546</v>
      </c>
      <c r="G584">
        <v>371741</v>
      </c>
      <c r="H584">
        <f t="shared" si="27"/>
        <v>2023</v>
      </c>
      <c r="I584" t="str">
        <f t="shared" si="28"/>
        <v>May</v>
      </c>
      <c r="J584" t="str">
        <f t="shared" si="29"/>
        <v>Q2</v>
      </c>
      <c r="K584" t="str">
        <f>TEXT(checking_account_main[[#This Row],[Date]],"mmm-yyyy")</f>
        <v>May-2023</v>
      </c>
      <c r="L584">
        <f>_xlfn.XLOOKUP(checking_account_main[[#This Row],[Month_Year]],checking_account_main[Month_Year],checking_account_main[Balance],"",0,-1)</f>
        <v>388813</v>
      </c>
    </row>
    <row r="585" spans="1:12" x14ac:dyDescent="0.3">
      <c r="A585" s="1">
        <v>45047</v>
      </c>
      <c r="B585" t="s">
        <v>601</v>
      </c>
      <c r="C585" t="s">
        <v>74</v>
      </c>
      <c r="D585" t="s">
        <v>16</v>
      </c>
      <c r="E585" t="s">
        <v>17</v>
      </c>
      <c r="F585" s="3">
        <v>135</v>
      </c>
      <c r="G585">
        <v>371606</v>
      </c>
      <c r="H585">
        <f t="shared" si="27"/>
        <v>2023</v>
      </c>
      <c r="I585" t="str">
        <f t="shared" si="28"/>
        <v>May</v>
      </c>
      <c r="J585" t="str">
        <f t="shared" si="29"/>
        <v>Q2</v>
      </c>
      <c r="K585" t="str">
        <f>TEXT(checking_account_main[[#This Row],[Date]],"mmm-yyyy")</f>
        <v>May-2023</v>
      </c>
      <c r="L585">
        <f>_xlfn.XLOOKUP(checking_account_main[[#This Row],[Month_Year]],checking_account_main[Month_Year],checking_account_main[Balance],"",0,-1)</f>
        <v>388813</v>
      </c>
    </row>
    <row r="586" spans="1:12" x14ac:dyDescent="0.3">
      <c r="A586" s="1">
        <v>45048</v>
      </c>
      <c r="B586" t="s">
        <v>602</v>
      </c>
      <c r="C586" t="s">
        <v>8</v>
      </c>
      <c r="D586" t="s">
        <v>9</v>
      </c>
      <c r="E586" t="s">
        <v>10</v>
      </c>
      <c r="F586" s="3">
        <v>587</v>
      </c>
      <c r="G586">
        <v>372193</v>
      </c>
      <c r="H586">
        <f t="shared" si="27"/>
        <v>2023</v>
      </c>
      <c r="I586" t="str">
        <f t="shared" si="28"/>
        <v>May</v>
      </c>
      <c r="J586" t="str">
        <f t="shared" si="29"/>
        <v>Q2</v>
      </c>
      <c r="K586" t="str">
        <f>TEXT(checking_account_main[[#This Row],[Date]],"mmm-yyyy")</f>
        <v>May-2023</v>
      </c>
      <c r="L586">
        <f>_xlfn.XLOOKUP(checking_account_main[[#This Row],[Month_Year]],checking_account_main[Month_Year],checking_account_main[Balance],"",0,-1)</f>
        <v>388813</v>
      </c>
    </row>
    <row r="587" spans="1:12" x14ac:dyDescent="0.3">
      <c r="A587" s="1">
        <v>45049</v>
      </c>
      <c r="B587" t="s">
        <v>603</v>
      </c>
      <c r="C587" t="s">
        <v>8</v>
      </c>
      <c r="D587" t="s">
        <v>9</v>
      </c>
      <c r="E587" t="s">
        <v>10</v>
      </c>
      <c r="F587" s="3">
        <v>784</v>
      </c>
      <c r="G587">
        <v>372977</v>
      </c>
      <c r="H587">
        <f t="shared" si="27"/>
        <v>2023</v>
      </c>
      <c r="I587" t="str">
        <f t="shared" si="28"/>
        <v>May</v>
      </c>
      <c r="J587" t="str">
        <f t="shared" si="29"/>
        <v>Q2</v>
      </c>
      <c r="K587" t="str">
        <f>TEXT(checking_account_main[[#This Row],[Date]],"mmm-yyyy")</f>
        <v>May-2023</v>
      </c>
      <c r="L587">
        <f>_xlfn.XLOOKUP(checking_account_main[[#This Row],[Month_Year]],checking_account_main[Month_Year],checking_account_main[Balance],"",0,-1)</f>
        <v>388813</v>
      </c>
    </row>
    <row r="588" spans="1:12" x14ac:dyDescent="0.3">
      <c r="A588" s="1">
        <v>45050</v>
      </c>
      <c r="B588" t="s">
        <v>604</v>
      </c>
      <c r="C588" t="s">
        <v>8</v>
      </c>
      <c r="D588" t="s">
        <v>9</v>
      </c>
      <c r="E588" t="s">
        <v>10</v>
      </c>
      <c r="F588" s="3">
        <v>410</v>
      </c>
      <c r="G588">
        <v>373387</v>
      </c>
      <c r="H588">
        <f t="shared" si="27"/>
        <v>2023</v>
      </c>
      <c r="I588" t="str">
        <f t="shared" si="28"/>
        <v>May</v>
      </c>
      <c r="J588" t="str">
        <f t="shared" si="29"/>
        <v>Q2</v>
      </c>
      <c r="K588" t="str">
        <f>TEXT(checking_account_main[[#This Row],[Date]],"mmm-yyyy")</f>
        <v>May-2023</v>
      </c>
      <c r="L588">
        <f>_xlfn.XLOOKUP(checking_account_main[[#This Row],[Month_Year]],checking_account_main[Month_Year],checking_account_main[Balance],"",0,-1)</f>
        <v>388813</v>
      </c>
    </row>
    <row r="589" spans="1:12" x14ac:dyDescent="0.3">
      <c r="A589" s="1">
        <v>45051</v>
      </c>
      <c r="B589" t="s">
        <v>605</v>
      </c>
      <c r="C589" t="s">
        <v>8</v>
      </c>
      <c r="D589" t="s">
        <v>9</v>
      </c>
      <c r="E589" t="s">
        <v>10</v>
      </c>
      <c r="F589" s="3">
        <v>785</v>
      </c>
      <c r="G589">
        <v>374172</v>
      </c>
      <c r="H589">
        <f t="shared" si="27"/>
        <v>2023</v>
      </c>
      <c r="I589" t="str">
        <f t="shared" si="28"/>
        <v>May</v>
      </c>
      <c r="J589" t="str">
        <f t="shared" si="29"/>
        <v>Q2</v>
      </c>
      <c r="K589" t="str">
        <f>TEXT(checking_account_main[[#This Row],[Date]],"mmm-yyyy")</f>
        <v>May-2023</v>
      </c>
      <c r="L589">
        <f>_xlfn.XLOOKUP(checking_account_main[[#This Row],[Month_Year]],checking_account_main[Month_Year],checking_account_main[Balance],"",0,-1)</f>
        <v>388813</v>
      </c>
    </row>
    <row r="590" spans="1:12" x14ac:dyDescent="0.3">
      <c r="A590" s="1">
        <v>45052</v>
      </c>
      <c r="B590" t="s">
        <v>606</v>
      </c>
      <c r="C590" t="s">
        <v>8</v>
      </c>
      <c r="D590" t="s">
        <v>9</v>
      </c>
      <c r="E590" t="s">
        <v>10</v>
      </c>
      <c r="F590" s="3">
        <v>518</v>
      </c>
      <c r="G590">
        <v>374690</v>
      </c>
      <c r="H590">
        <f t="shared" si="27"/>
        <v>2023</v>
      </c>
      <c r="I590" t="str">
        <f t="shared" si="28"/>
        <v>May</v>
      </c>
      <c r="J590" t="str">
        <f t="shared" si="29"/>
        <v>Q2</v>
      </c>
      <c r="K590" t="str">
        <f>TEXT(checking_account_main[[#This Row],[Date]],"mmm-yyyy")</f>
        <v>May-2023</v>
      </c>
      <c r="L590">
        <f>_xlfn.XLOOKUP(checking_account_main[[#This Row],[Month_Year]],checking_account_main[Month_Year],checking_account_main[Balance],"",0,-1)</f>
        <v>388813</v>
      </c>
    </row>
    <row r="591" spans="1:12" x14ac:dyDescent="0.3">
      <c r="A591" s="1">
        <v>45053</v>
      </c>
      <c r="B591" t="s">
        <v>607</v>
      </c>
      <c r="C591" t="s">
        <v>8</v>
      </c>
      <c r="D591" t="s">
        <v>9</v>
      </c>
      <c r="E591" t="s">
        <v>10</v>
      </c>
      <c r="F591" s="3">
        <v>660</v>
      </c>
      <c r="G591">
        <v>375350</v>
      </c>
      <c r="H591">
        <f t="shared" si="27"/>
        <v>2023</v>
      </c>
      <c r="I591" t="str">
        <f t="shared" si="28"/>
        <v>May</v>
      </c>
      <c r="J591" t="str">
        <f t="shared" si="29"/>
        <v>Q2</v>
      </c>
      <c r="K591" t="str">
        <f>TEXT(checking_account_main[[#This Row],[Date]],"mmm-yyyy")</f>
        <v>May-2023</v>
      </c>
      <c r="L591">
        <f>_xlfn.XLOOKUP(checking_account_main[[#This Row],[Month_Year]],checking_account_main[Month_Year],checking_account_main[Balance],"",0,-1)</f>
        <v>388813</v>
      </c>
    </row>
    <row r="592" spans="1:12" x14ac:dyDescent="0.3">
      <c r="A592" s="1">
        <v>45054</v>
      </c>
      <c r="B592" t="s">
        <v>608</v>
      </c>
      <c r="C592" t="s">
        <v>8</v>
      </c>
      <c r="D592" t="s">
        <v>9</v>
      </c>
      <c r="E592" t="s">
        <v>10</v>
      </c>
      <c r="F592" s="3">
        <v>655</v>
      </c>
      <c r="G592">
        <v>376005</v>
      </c>
      <c r="H592">
        <f t="shared" si="27"/>
        <v>2023</v>
      </c>
      <c r="I592" t="str">
        <f t="shared" si="28"/>
        <v>May</v>
      </c>
      <c r="J592" t="str">
        <f t="shared" si="29"/>
        <v>Q2</v>
      </c>
      <c r="K592" t="str">
        <f>TEXT(checking_account_main[[#This Row],[Date]],"mmm-yyyy")</f>
        <v>May-2023</v>
      </c>
      <c r="L592">
        <f>_xlfn.XLOOKUP(checking_account_main[[#This Row],[Month_Year]],checking_account_main[Month_Year],checking_account_main[Balance],"",0,-1)</f>
        <v>388813</v>
      </c>
    </row>
    <row r="593" spans="1:12" x14ac:dyDescent="0.3">
      <c r="A593" s="1">
        <v>45055</v>
      </c>
      <c r="B593" t="s">
        <v>609</v>
      </c>
      <c r="C593" t="s">
        <v>8</v>
      </c>
      <c r="D593" t="s">
        <v>9</v>
      </c>
      <c r="E593" t="s">
        <v>10</v>
      </c>
      <c r="F593" s="3">
        <v>625</v>
      </c>
      <c r="G593">
        <v>376630</v>
      </c>
      <c r="H593">
        <f t="shared" si="27"/>
        <v>2023</v>
      </c>
      <c r="I593" t="str">
        <f t="shared" si="28"/>
        <v>May</v>
      </c>
      <c r="J593" t="str">
        <f t="shared" si="29"/>
        <v>Q2</v>
      </c>
      <c r="K593" t="str">
        <f>TEXT(checking_account_main[[#This Row],[Date]],"mmm-yyyy")</f>
        <v>May-2023</v>
      </c>
      <c r="L593">
        <f>_xlfn.XLOOKUP(checking_account_main[[#This Row],[Month_Year]],checking_account_main[Month_Year],checking_account_main[Balance],"",0,-1)</f>
        <v>388813</v>
      </c>
    </row>
    <row r="594" spans="1:12" x14ac:dyDescent="0.3">
      <c r="A594" s="1">
        <v>45056</v>
      </c>
      <c r="B594" t="s">
        <v>610</v>
      </c>
      <c r="C594" t="s">
        <v>8</v>
      </c>
      <c r="D594" t="s">
        <v>9</v>
      </c>
      <c r="E594" t="s">
        <v>10</v>
      </c>
      <c r="F594" s="3">
        <v>754</v>
      </c>
      <c r="G594">
        <v>377384</v>
      </c>
      <c r="H594">
        <f t="shared" si="27"/>
        <v>2023</v>
      </c>
      <c r="I594" t="str">
        <f t="shared" si="28"/>
        <v>May</v>
      </c>
      <c r="J594" t="str">
        <f t="shared" si="29"/>
        <v>Q2</v>
      </c>
      <c r="K594" t="str">
        <f>TEXT(checking_account_main[[#This Row],[Date]],"mmm-yyyy")</f>
        <v>May-2023</v>
      </c>
      <c r="L594">
        <f>_xlfn.XLOOKUP(checking_account_main[[#This Row],[Month_Year]],checking_account_main[Month_Year],checking_account_main[Balance],"",0,-1)</f>
        <v>388813</v>
      </c>
    </row>
    <row r="595" spans="1:12" x14ac:dyDescent="0.3">
      <c r="A595" s="1">
        <v>45057</v>
      </c>
      <c r="B595" t="s">
        <v>611</v>
      </c>
      <c r="C595" t="s">
        <v>8</v>
      </c>
      <c r="D595" t="s">
        <v>9</v>
      </c>
      <c r="E595" t="s">
        <v>10</v>
      </c>
      <c r="F595" s="3">
        <v>741</v>
      </c>
      <c r="G595">
        <v>378125</v>
      </c>
      <c r="H595">
        <f t="shared" si="27"/>
        <v>2023</v>
      </c>
      <c r="I595" t="str">
        <f t="shared" si="28"/>
        <v>May</v>
      </c>
      <c r="J595" t="str">
        <f t="shared" si="29"/>
        <v>Q2</v>
      </c>
      <c r="K595" t="str">
        <f>TEXT(checking_account_main[[#This Row],[Date]],"mmm-yyyy")</f>
        <v>May-2023</v>
      </c>
      <c r="L595">
        <f>_xlfn.XLOOKUP(checking_account_main[[#This Row],[Month_Year]],checking_account_main[Month_Year],checking_account_main[Balance],"",0,-1)</f>
        <v>388813</v>
      </c>
    </row>
    <row r="596" spans="1:12" x14ac:dyDescent="0.3">
      <c r="A596" s="1">
        <v>45058</v>
      </c>
      <c r="B596" t="s">
        <v>612</v>
      </c>
      <c r="C596" t="s">
        <v>8</v>
      </c>
      <c r="D596" t="s">
        <v>9</v>
      </c>
      <c r="E596" t="s">
        <v>10</v>
      </c>
      <c r="F596" s="3">
        <v>480</v>
      </c>
      <c r="G596">
        <v>378605</v>
      </c>
      <c r="H596">
        <f t="shared" si="27"/>
        <v>2023</v>
      </c>
      <c r="I596" t="str">
        <f t="shared" si="28"/>
        <v>May</v>
      </c>
      <c r="J596" t="str">
        <f t="shared" si="29"/>
        <v>Q2</v>
      </c>
      <c r="K596" t="str">
        <f>TEXT(checking_account_main[[#This Row],[Date]],"mmm-yyyy")</f>
        <v>May-2023</v>
      </c>
      <c r="L596">
        <f>_xlfn.XLOOKUP(checking_account_main[[#This Row],[Month_Year]],checking_account_main[Month_Year],checking_account_main[Balance],"",0,-1)</f>
        <v>388813</v>
      </c>
    </row>
    <row r="597" spans="1:12" x14ac:dyDescent="0.3">
      <c r="A597" s="1">
        <v>45059</v>
      </c>
      <c r="B597" t="s">
        <v>613</v>
      </c>
      <c r="C597" t="s">
        <v>8</v>
      </c>
      <c r="D597" t="s">
        <v>9</v>
      </c>
      <c r="E597" t="s">
        <v>10</v>
      </c>
      <c r="F597" s="3">
        <v>519</v>
      </c>
      <c r="G597">
        <v>379124</v>
      </c>
      <c r="H597">
        <f t="shared" si="27"/>
        <v>2023</v>
      </c>
      <c r="I597" t="str">
        <f t="shared" si="28"/>
        <v>May</v>
      </c>
      <c r="J597" t="str">
        <f t="shared" si="29"/>
        <v>Q2</v>
      </c>
      <c r="K597" t="str">
        <f>TEXT(checking_account_main[[#This Row],[Date]],"mmm-yyyy")</f>
        <v>May-2023</v>
      </c>
      <c r="L597">
        <f>_xlfn.XLOOKUP(checking_account_main[[#This Row],[Month_Year]],checking_account_main[Month_Year],checking_account_main[Balance],"",0,-1)</f>
        <v>388813</v>
      </c>
    </row>
    <row r="598" spans="1:12" x14ac:dyDescent="0.3">
      <c r="A598" s="1">
        <v>45060</v>
      </c>
      <c r="B598" t="s">
        <v>614</v>
      </c>
      <c r="C598" t="s">
        <v>8</v>
      </c>
      <c r="D598" t="s">
        <v>9</v>
      </c>
      <c r="E598" t="s">
        <v>10</v>
      </c>
      <c r="F598" s="3">
        <v>614</v>
      </c>
      <c r="G598">
        <v>379738</v>
      </c>
      <c r="H598">
        <f t="shared" si="27"/>
        <v>2023</v>
      </c>
      <c r="I598" t="str">
        <f t="shared" si="28"/>
        <v>May</v>
      </c>
      <c r="J598" t="str">
        <f t="shared" si="29"/>
        <v>Q2</v>
      </c>
      <c r="K598" t="str">
        <f>TEXT(checking_account_main[[#This Row],[Date]],"mmm-yyyy")</f>
        <v>May-2023</v>
      </c>
      <c r="L598">
        <f>_xlfn.XLOOKUP(checking_account_main[[#This Row],[Month_Year]],checking_account_main[Month_Year],checking_account_main[Balance],"",0,-1)</f>
        <v>388813</v>
      </c>
    </row>
    <row r="599" spans="1:12" x14ac:dyDescent="0.3">
      <c r="A599" s="1">
        <v>45061</v>
      </c>
      <c r="B599" t="s">
        <v>615</v>
      </c>
      <c r="C599" t="s">
        <v>8</v>
      </c>
      <c r="D599" t="s">
        <v>9</v>
      </c>
      <c r="E599" t="s">
        <v>10</v>
      </c>
      <c r="F599" s="3">
        <v>608</v>
      </c>
      <c r="G599">
        <v>380346</v>
      </c>
      <c r="H599">
        <f t="shared" si="27"/>
        <v>2023</v>
      </c>
      <c r="I599" t="str">
        <f t="shared" si="28"/>
        <v>May</v>
      </c>
      <c r="J599" t="str">
        <f t="shared" si="29"/>
        <v>Q2</v>
      </c>
      <c r="K599" t="str">
        <f>TEXT(checking_account_main[[#This Row],[Date]],"mmm-yyyy")</f>
        <v>May-2023</v>
      </c>
      <c r="L599">
        <f>_xlfn.XLOOKUP(checking_account_main[[#This Row],[Month_Year]],checking_account_main[Month_Year],checking_account_main[Balance],"",0,-1)</f>
        <v>388813</v>
      </c>
    </row>
    <row r="600" spans="1:12" x14ac:dyDescent="0.3">
      <c r="A600" s="1">
        <v>45062</v>
      </c>
      <c r="B600" t="s">
        <v>616</v>
      </c>
      <c r="C600" t="s">
        <v>8</v>
      </c>
      <c r="D600" t="s">
        <v>9</v>
      </c>
      <c r="E600" t="s">
        <v>10</v>
      </c>
      <c r="F600" s="3">
        <v>608</v>
      </c>
      <c r="G600">
        <v>380954</v>
      </c>
      <c r="H600">
        <f t="shared" si="27"/>
        <v>2023</v>
      </c>
      <c r="I600" t="str">
        <f t="shared" si="28"/>
        <v>May</v>
      </c>
      <c r="J600" t="str">
        <f t="shared" si="29"/>
        <v>Q2</v>
      </c>
      <c r="K600" t="str">
        <f>TEXT(checking_account_main[[#This Row],[Date]],"mmm-yyyy")</f>
        <v>May-2023</v>
      </c>
      <c r="L600">
        <f>_xlfn.XLOOKUP(checking_account_main[[#This Row],[Month_Year]],checking_account_main[Month_Year],checking_account_main[Balance],"",0,-1)</f>
        <v>388813</v>
      </c>
    </row>
    <row r="601" spans="1:12" x14ac:dyDescent="0.3">
      <c r="A601" s="1">
        <v>45063</v>
      </c>
      <c r="B601" t="s">
        <v>617</v>
      </c>
      <c r="C601" t="s">
        <v>8</v>
      </c>
      <c r="D601" t="s">
        <v>9</v>
      </c>
      <c r="E601" t="s">
        <v>10</v>
      </c>
      <c r="F601" s="3">
        <v>439</v>
      </c>
      <c r="G601">
        <v>381393</v>
      </c>
      <c r="H601">
        <f t="shared" si="27"/>
        <v>2023</v>
      </c>
      <c r="I601" t="str">
        <f t="shared" si="28"/>
        <v>May</v>
      </c>
      <c r="J601" t="str">
        <f t="shared" si="29"/>
        <v>Q2</v>
      </c>
      <c r="K601" t="str">
        <f>TEXT(checking_account_main[[#This Row],[Date]],"mmm-yyyy")</f>
        <v>May-2023</v>
      </c>
      <c r="L601">
        <f>_xlfn.XLOOKUP(checking_account_main[[#This Row],[Month_Year]],checking_account_main[Month_Year],checking_account_main[Balance],"",0,-1)</f>
        <v>388813</v>
      </c>
    </row>
    <row r="602" spans="1:12" x14ac:dyDescent="0.3">
      <c r="A602" s="1">
        <v>45064</v>
      </c>
      <c r="B602" t="s">
        <v>618</v>
      </c>
      <c r="C602" t="s">
        <v>8</v>
      </c>
      <c r="D602" t="s">
        <v>9</v>
      </c>
      <c r="E602" t="s">
        <v>10</v>
      </c>
      <c r="F602" s="3">
        <v>680</v>
      </c>
      <c r="G602">
        <v>382073</v>
      </c>
      <c r="H602">
        <f t="shared" si="27"/>
        <v>2023</v>
      </c>
      <c r="I602" t="str">
        <f t="shared" si="28"/>
        <v>May</v>
      </c>
      <c r="J602" t="str">
        <f t="shared" si="29"/>
        <v>Q2</v>
      </c>
      <c r="K602" t="str">
        <f>TEXT(checking_account_main[[#This Row],[Date]],"mmm-yyyy")</f>
        <v>May-2023</v>
      </c>
      <c r="L602">
        <f>_xlfn.XLOOKUP(checking_account_main[[#This Row],[Month_Year]],checking_account_main[Month_Year],checking_account_main[Balance],"",0,-1)</f>
        <v>388813</v>
      </c>
    </row>
    <row r="603" spans="1:12" x14ac:dyDescent="0.3">
      <c r="A603" s="1">
        <v>45065</v>
      </c>
      <c r="B603" t="s">
        <v>619</v>
      </c>
      <c r="C603" t="s">
        <v>8</v>
      </c>
      <c r="D603" t="s">
        <v>9</v>
      </c>
      <c r="E603" t="s">
        <v>10</v>
      </c>
      <c r="F603" s="3">
        <v>645</v>
      </c>
      <c r="G603">
        <v>382718</v>
      </c>
      <c r="H603">
        <f t="shared" si="27"/>
        <v>2023</v>
      </c>
      <c r="I603" t="str">
        <f t="shared" si="28"/>
        <v>May</v>
      </c>
      <c r="J603" t="str">
        <f t="shared" si="29"/>
        <v>Q2</v>
      </c>
      <c r="K603" t="str">
        <f>TEXT(checking_account_main[[#This Row],[Date]],"mmm-yyyy")</f>
        <v>May-2023</v>
      </c>
      <c r="L603">
        <f>_xlfn.XLOOKUP(checking_account_main[[#This Row],[Month_Year]],checking_account_main[Month_Year],checking_account_main[Balance],"",0,-1)</f>
        <v>388813</v>
      </c>
    </row>
    <row r="604" spans="1:12" x14ac:dyDescent="0.3">
      <c r="A604" s="1">
        <v>45066</v>
      </c>
      <c r="B604" t="s">
        <v>620</v>
      </c>
      <c r="C604" t="s">
        <v>8</v>
      </c>
      <c r="D604" t="s">
        <v>9</v>
      </c>
      <c r="E604" t="s">
        <v>10</v>
      </c>
      <c r="F604" s="3">
        <v>403</v>
      </c>
      <c r="G604">
        <v>383121</v>
      </c>
      <c r="H604">
        <f t="shared" si="27"/>
        <v>2023</v>
      </c>
      <c r="I604" t="str">
        <f t="shared" si="28"/>
        <v>May</v>
      </c>
      <c r="J604" t="str">
        <f t="shared" si="29"/>
        <v>Q2</v>
      </c>
      <c r="K604" t="str">
        <f>TEXT(checking_account_main[[#This Row],[Date]],"mmm-yyyy")</f>
        <v>May-2023</v>
      </c>
      <c r="L604">
        <f>_xlfn.XLOOKUP(checking_account_main[[#This Row],[Month_Year]],checking_account_main[Month_Year],checking_account_main[Balance],"",0,-1)</f>
        <v>388813</v>
      </c>
    </row>
    <row r="605" spans="1:12" x14ac:dyDescent="0.3">
      <c r="A605" s="1">
        <v>45066</v>
      </c>
      <c r="B605" t="s">
        <v>621</v>
      </c>
      <c r="C605" t="s">
        <v>74</v>
      </c>
      <c r="D605" t="s">
        <v>16</v>
      </c>
      <c r="E605" t="s">
        <v>17</v>
      </c>
      <c r="F605" s="3">
        <v>128</v>
      </c>
      <c r="G605">
        <v>382993</v>
      </c>
      <c r="H605">
        <f t="shared" si="27"/>
        <v>2023</v>
      </c>
      <c r="I605" t="str">
        <f t="shared" si="28"/>
        <v>May</v>
      </c>
      <c r="J605" t="str">
        <f t="shared" si="29"/>
        <v>Q2</v>
      </c>
      <c r="K605" t="str">
        <f>TEXT(checking_account_main[[#This Row],[Date]],"mmm-yyyy")</f>
        <v>May-2023</v>
      </c>
      <c r="L605">
        <f>_xlfn.XLOOKUP(checking_account_main[[#This Row],[Month_Year]],checking_account_main[Month_Year],checking_account_main[Balance],"",0,-1)</f>
        <v>388813</v>
      </c>
    </row>
    <row r="606" spans="1:12" x14ac:dyDescent="0.3">
      <c r="A606" s="1">
        <v>45067</v>
      </c>
      <c r="B606" t="s">
        <v>622</v>
      </c>
      <c r="C606" t="s">
        <v>8</v>
      </c>
      <c r="D606" t="s">
        <v>9</v>
      </c>
      <c r="E606" t="s">
        <v>10</v>
      </c>
      <c r="F606" s="3">
        <v>497</v>
      </c>
      <c r="G606">
        <v>383490</v>
      </c>
      <c r="H606">
        <f t="shared" si="27"/>
        <v>2023</v>
      </c>
      <c r="I606" t="str">
        <f t="shared" si="28"/>
        <v>May</v>
      </c>
      <c r="J606" t="str">
        <f t="shared" si="29"/>
        <v>Q2</v>
      </c>
      <c r="K606" t="str">
        <f>TEXT(checking_account_main[[#This Row],[Date]],"mmm-yyyy")</f>
        <v>May-2023</v>
      </c>
      <c r="L606">
        <f>_xlfn.XLOOKUP(checking_account_main[[#This Row],[Month_Year]],checking_account_main[Month_Year],checking_account_main[Balance],"",0,-1)</f>
        <v>388813</v>
      </c>
    </row>
    <row r="607" spans="1:12" x14ac:dyDescent="0.3">
      <c r="A607" s="1">
        <v>45068</v>
      </c>
      <c r="B607" t="s">
        <v>623</v>
      </c>
      <c r="C607" t="s">
        <v>8</v>
      </c>
      <c r="D607" t="s">
        <v>9</v>
      </c>
      <c r="E607" t="s">
        <v>10</v>
      </c>
      <c r="F607" s="3">
        <v>474</v>
      </c>
      <c r="G607">
        <v>383964</v>
      </c>
      <c r="H607">
        <f t="shared" si="27"/>
        <v>2023</v>
      </c>
      <c r="I607" t="str">
        <f t="shared" si="28"/>
        <v>May</v>
      </c>
      <c r="J607" t="str">
        <f t="shared" si="29"/>
        <v>Q2</v>
      </c>
      <c r="K607" t="str">
        <f>TEXT(checking_account_main[[#This Row],[Date]],"mmm-yyyy")</f>
        <v>May-2023</v>
      </c>
      <c r="L607">
        <f>_xlfn.XLOOKUP(checking_account_main[[#This Row],[Month_Year]],checking_account_main[Month_Year],checking_account_main[Balance],"",0,-1)</f>
        <v>388813</v>
      </c>
    </row>
    <row r="608" spans="1:12" x14ac:dyDescent="0.3">
      <c r="A608" s="1">
        <v>45069</v>
      </c>
      <c r="B608" t="s">
        <v>624</v>
      </c>
      <c r="C608" t="s">
        <v>8</v>
      </c>
      <c r="D608" t="s">
        <v>9</v>
      </c>
      <c r="E608" t="s">
        <v>10</v>
      </c>
      <c r="F608" s="3">
        <v>527</v>
      </c>
      <c r="G608">
        <v>384491</v>
      </c>
      <c r="H608">
        <f t="shared" si="27"/>
        <v>2023</v>
      </c>
      <c r="I608" t="str">
        <f t="shared" si="28"/>
        <v>May</v>
      </c>
      <c r="J608" t="str">
        <f t="shared" si="29"/>
        <v>Q2</v>
      </c>
      <c r="K608" t="str">
        <f>TEXT(checking_account_main[[#This Row],[Date]],"mmm-yyyy")</f>
        <v>May-2023</v>
      </c>
      <c r="L608">
        <f>_xlfn.XLOOKUP(checking_account_main[[#This Row],[Month_Year]],checking_account_main[Month_Year],checking_account_main[Balance],"",0,-1)</f>
        <v>388813</v>
      </c>
    </row>
    <row r="609" spans="1:12" x14ac:dyDescent="0.3">
      <c r="A609" s="1">
        <v>45069</v>
      </c>
      <c r="B609" t="s">
        <v>625</v>
      </c>
      <c r="C609" t="s">
        <v>28</v>
      </c>
      <c r="D609" t="s">
        <v>29</v>
      </c>
      <c r="E609" t="s">
        <v>17</v>
      </c>
      <c r="F609" s="3">
        <v>455</v>
      </c>
      <c r="G609">
        <v>384036</v>
      </c>
      <c r="H609">
        <f t="shared" si="27"/>
        <v>2023</v>
      </c>
      <c r="I609" t="str">
        <f t="shared" si="28"/>
        <v>May</v>
      </c>
      <c r="J609" t="str">
        <f t="shared" si="29"/>
        <v>Q2</v>
      </c>
      <c r="K609" t="str">
        <f>TEXT(checking_account_main[[#This Row],[Date]],"mmm-yyyy")</f>
        <v>May-2023</v>
      </c>
      <c r="L609">
        <f>_xlfn.XLOOKUP(checking_account_main[[#This Row],[Month_Year]],checking_account_main[Month_Year],checking_account_main[Balance],"",0,-1)</f>
        <v>388813</v>
      </c>
    </row>
    <row r="610" spans="1:12" x14ac:dyDescent="0.3">
      <c r="A610" s="1">
        <v>45070</v>
      </c>
      <c r="B610" t="s">
        <v>626</v>
      </c>
      <c r="C610" t="s">
        <v>8</v>
      </c>
      <c r="D610" t="s">
        <v>9</v>
      </c>
      <c r="E610" t="s">
        <v>10</v>
      </c>
      <c r="F610" s="3">
        <v>433</v>
      </c>
      <c r="G610">
        <v>384469</v>
      </c>
      <c r="H610">
        <f t="shared" si="27"/>
        <v>2023</v>
      </c>
      <c r="I610" t="str">
        <f t="shared" si="28"/>
        <v>May</v>
      </c>
      <c r="J610" t="str">
        <f t="shared" si="29"/>
        <v>Q2</v>
      </c>
      <c r="K610" t="str">
        <f>TEXT(checking_account_main[[#This Row],[Date]],"mmm-yyyy")</f>
        <v>May-2023</v>
      </c>
      <c r="L610">
        <f>_xlfn.XLOOKUP(checking_account_main[[#This Row],[Month_Year]],checking_account_main[Month_Year],checking_account_main[Balance],"",0,-1)</f>
        <v>388813</v>
      </c>
    </row>
    <row r="611" spans="1:12" x14ac:dyDescent="0.3">
      <c r="A611" s="1">
        <v>45071</v>
      </c>
      <c r="B611" t="s">
        <v>627</v>
      </c>
      <c r="C611" t="s">
        <v>8</v>
      </c>
      <c r="D611" t="s">
        <v>9</v>
      </c>
      <c r="E611" t="s">
        <v>10</v>
      </c>
      <c r="F611" s="3">
        <v>552</v>
      </c>
      <c r="G611">
        <v>385021</v>
      </c>
      <c r="H611">
        <f t="shared" si="27"/>
        <v>2023</v>
      </c>
      <c r="I611" t="str">
        <f t="shared" si="28"/>
        <v>May</v>
      </c>
      <c r="J611" t="str">
        <f t="shared" si="29"/>
        <v>Q2</v>
      </c>
      <c r="K611" t="str">
        <f>TEXT(checking_account_main[[#This Row],[Date]],"mmm-yyyy")</f>
        <v>May-2023</v>
      </c>
      <c r="L611">
        <f>_xlfn.XLOOKUP(checking_account_main[[#This Row],[Month_Year]],checking_account_main[Month_Year],checking_account_main[Balance],"",0,-1)</f>
        <v>388813</v>
      </c>
    </row>
    <row r="612" spans="1:12" x14ac:dyDescent="0.3">
      <c r="A612" s="1">
        <v>45072</v>
      </c>
      <c r="B612" t="s">
        <v>628</v>
      </c>
      <c r="C612" t="s">
        <v>8</v>
      </c>
      <c r="D612" t="s">
        <v>9</v>
      </c>
      <c r="E612" t="s">
        <v>10</v>
      </c>
      <c r="F612" s="3">
        <v>475</v>
      </c>
      <c r="G612">
        <v>385496</v>
      </c>
      <c r="H612">
        <f t="shared" si="27"/>
        <v>2023</v>
      </c>
      <c r="I612" t="str">
        <f t="shared" si="28"/>
        <v>May</v>
      </c>
      <c r="J612" t="str">
        <f t="shared" si="29"/>
        <v>Q2</v>
      </c>
      <c r="K612" t="str">
        <f>TEXT(checking_account_main[[#This Row],[Date]],"mmm-yyyy")</f>
        <v>May-2023</v>
      </c>
      <c r="L612">
        <f>_xlfn.XLOOKUP(checking_account_main[[#This Row],[Month_Year]],checking_account_main[Month_Year],checking_account_main[Balance],"",0,-1)</f>
        <v>388813</v>
      </c>
    </row>
    <row r="613" spans="1:12" x14ac:dyDescent="0.3">
      <c r="A613" s="1">
        <v>45073</v>
      </c>
      <c r="B613" t="s">
        <v>629</v>
      </c>
      <c r="C613" t="s">
        <v>8</v>
      </c>
      <c r="D613" t="s">
        <v>9</v>
      </c>
      <c r="E613" t="s">
        <v>10</v>
      </c>
      <c r="F613" s="3">
        <v>761</v>
      </c>
      <c r="G613">
        <v>386257</v>
      </c>
      <c r="H613">
        <f t="shared" si="27"/>
        <v>2023</v>
      </c>
      <c r="I613" t="str">
        <f t="shared" si="28"/>
        <v>May</v>
      </c>
      <c r="J613" t="str">
        <f t="shared" si="29"/>
        <v>Q2</v>
      </c>
      <c r="K613" t="str">
        <f>TEXT(checking_account_main[[#This Row],[Date]],"mmm-yyyy")</f>
        <v>May-2023</v>
      </c>
      <c r="L613">
        <f>_xlfn.XLOOKUP(checking_account_main[[#This Row],[Month_Year]],checking_account_main[Month_Year],checking_account_main[Balance],"",0,-1)</f>
        <v>388813</v>
      </c>
    </row>
    <row r="614" spans="1:12" x14ac:dyDescent="0.3">
      <c r="A614" s="1">
        <v>45073</v>
      </c>
      <c r="B614" t="s">
        <v>630</v>
      </c>
      <c r="C614" t="s">
        <v>28</v>
      </c>
      <c r="D614" t="s">
        <v>29</v>
      </c>
      <c r="E614" t="s">
        <v>17</v>
      </c>
      <c r="F614" s="3">
        <v>126</v>
      </c>
      <c r="G614">
        <v>386131</v>
      </c>
      <c r="H614">
        <f t="shared" si="27"/>
        <v>2023</v>
      </c>
      <c r="I614" t="str">
        <f t="shared" si="28"/>
        <v>May</v>
      </c>
      <c r="J614" t="str">
        <f t="shared" si="29"/>
        <v>Q2</v>
      </c>
      <c r="K614" t="str">
        <f>TEXT(checking_account_main[[#This Row],[Date]],"mmm-yyyy")</f>
        <v>May-2023</v>
      </c>
      <c r="L614">
        <f>_xlfn.XLOOKUP(checking_account_main[[#This Row],[Month_Year]],checking_account_main[Month_Year],checking_account_main[Balance],"",0,-1)</f>
        <v>388813</v>
      </c>
    </row>
    <row r="615" spans="1:12" x14ac:dyDescent="0.3">
      <c r="A615" s="1">
        <v>45074</v>
      </c>
      <c r="B615" t="s">
        <v>631</v>
      </c>
      <c r="C615" t="s">
        <v>8</v>
      </c>
      <c r="D615" t="s">
        <v>9</v>
      </c>
      <c r="E615" t="s">
        <v>10</v>
      </c>
      <c r="F615" s="3">
        <v>686</v>
      </c>
      <c r="G615">
        <v>386817</v>
      </c>
      <c r="H615">
        <f t="shared" si="27"/>
        <v>2023</v>
      </c>
      <c r="I615" t="str">
        <f t="shared" si="28"/>
        <v>May</v>
      </c>
      <c r="J615" t="str">
        <f t="shared" si="29"/>
        <v>Q2</v>
      </c>
      <c r="K615" t="str">
        <f>TEXT(checking_account_main[[#This Row],[Date]],"mmm-yyyy")</f>
        <v>May-2023</v>
      </c>
      <c r="L615">
        <f>_xlfn.XLOOKUP(checking_account_main[[#This Row],[Month_Year]],checking_account_main[Month_Year],checking_account_main[Balance],"",0,-1)</f>
        <v>388813</v>
      </c>
    </row>
    <row r="616" spans="1:12" x14ac:dyDescent="0.3">
      <c r="A616" s="1">
        <v>45075</v>
      </c>
      <c r="B616" t="s">
        <v>632</v>
      </c>
      <c r="C616" t="s">
        <v>8</v>
      </c>
      <c r="D616" t="s">
        <v>9</v>
      </c>
      <c r="E616" t="s">
        <v>10</v>
      </c>
      <c r="F616" s="3">
        <v>567</v>
      </c>
      <c r="G616">
        <v>387384</v>
      </c>
      <c r="H616">
        <f t="shared" si="27"/>
        <v>2023</v>
      </c>
      <c r="I616" t="str">
        <f t="shared" si="28"/>
        <v>May</v>
      </c>
      <c r="J616" t="str">
        <f t="shared" si="29"/>
        <v>Q2</v>
      </c>
      <c r="K616" t="str">
        <f>TEXT(checking_account_main[[#This Row],[Date]],"mmm-yyyy")</f>
        <v>May-2023</v>
      </c>
      <c r="L616">
        <f>_xlfn.XLOOKUP(checking_account_main[[#This Row],[Month_Year]],checking_account_main[Month_Year],checking_account_main[Balance],"",0,-1)</f>
        <v>388813</v>
      </c>
    </row>
    <row r="617" spans="1:12" x14ac:dyDescent="0.3">
      <c r="A617" s="1">
        <v>45076</v>
      </c>
      <c r="B617" t="s">
        <v>633</v>
      </c>
      <c r="C617" t="s">
        <v>8</v>
      </c>
      <c r="D617" t="s">
        <v>9</v>
      </c>
      <c r="E617" t="s">
        <v>10</v>
      </c>
      <c r="F617" s="3">
        <v>636</v>
      </c>
      <c r="G617">
        <v>388020</v>
      </c>
      <c r="H617">
        <f t="shared" si="27"/>
        <v>2023</v>
      </c>
      <c r="I617" t="str">
        <f t="shared" si="28"/>
        <v>May</v>
      </c>
      <c r="J617" t="str">
        <f t="shared" si="29"/>
        <v>Q2</v>
      </c>
      <c r="K617" t="str">
        <f>TEXT(checking_account_main[[#This Row],[Date]],"mmm-yyyy")</f>
        <v>May-2023</v>
      </c>
      <c r="L617">
        <f>_xlfn.XLOOKUP(checking_account_main[[#This Row],[Month_Year]],checking_account_main[Month_Year],checking_account_main[Balance],"",0,-1)</f>
        <v>388813</v>
      </c>
    </row>
    <row r="618" spans="1:12" x14ac:dyDescent="0.3">
      <c r="A618" s="1">
        <v>45077</v>
      </c>
      <c r="B618" t="s">
        <v>634</v>
      </c>
      <c r="C618" t="s">
        <v>8</v>
      </c>
      <c r="D618" t="s">
        <v>9</v>
      </c>
      <c r="E618" t="s">
        <v>10</v>
      </c>
      <c r="F618" s="3">
        <v>793</v>
      </c>
      <c r="G618">
        <v>388813</v>
      </c>
      <c r="H618">
        <f t="shared" si="27"/>
        <v>2023</v>
      </c>
      <c r="I618" t="str">
        <f t="shared" si="28"/>
        <v>May</v>
      </c>
      <c r="J618" t="str">
        <f t="shared" si="29"/>
        <v>Q2</v>
      </c>
      <c r="K618" t="str">
        <f>TEXT(checking_account_main[[#This Row],[Date]],"mmm-yyyy")</f>
        <v>May-2023</v>
      </c>
      <c r="L618">
        <f>_xlfn.XLOOKUP(checking_account_main[[#This Row],[Month_Year]],checking_account_main[Month_Year],checking_account_main[Balance],"",0,-1)</f>
        <v>388813</v>
      </c>
    </row>
    <row r="619" spans="1:12" x14ac:dyDescent="0.3">
      <c r="A619" s="1">
        <v>45078</v>
      </c>
      <c r="B619" t="s">
        <v>635</v>
      </c>
      <c r="C619" t="s">
        <v>8</v>
      </c>
      <c r="D619" t="s">
        <v>9</v>
      </c>
      <c r="E619" t="s">
        <v>10</v>
      </c>
      <c r="F619" s="3">
        <v>589</v>
      </c>
      <c r="G619">
        <v>389402</v>
      </c>
      <c r="H619">
        <f t="shared" si="27"/>
        <v>2023</v>
      </c>
      <c r="I619" t="str">
        <f t="shared" si="28"/>
        <v>June</v>
      </c>
      <c r="J619" t="str">
        <f t="shared" si="29"/>
        <v>Q2</v>
      </c>
      <c r="K619" t="str">
        <f>TEXT(checking_account_main[[#This Row],[Date]],"mmm-yyyy")</f>
        <v>Jun-2023</v>
      </c>
      <c r="L619">
        <f>_xlfn.XLOOKUP(checking_account_main[[#This Row],[Month_Year]],checking_account_main[Month_Year],checking_account_main[Balance],"",0,-1)</f>
        <v>404855</v>
      </c>
    </row>
    <row r="620" spans="1:12" x14ac:dyDescent="0.3">
      <c r="A620" s="1">
        <v>45079</v>
      </c>
      <c r="B620" t="s">
        <v>636</v>
      </c>
      <c r="C620" t="s">
        <v>8</v>
      </c>
      <c r="D620" t="s">
        <v>9</v>
      </c>
      <c r="E620" t="s">
        <v>10</v>
      </c>
      <c r="F620" s="3">
        <v>463</v>
      </c>
      <c r="G620">
        <v>389865</v>
      </c>
      <c r="H620">
        <f t="shared" si="27"/>
        <v>2023</v>
      </c>
      <c r="I620" t="str">
        <f t="shared" si="28"/>
        <v>June</v>
      </c>
      <c r="J620" t="str">
        <f t="shared" si="29"/>
        <v>Q2</v>
      </c>
      <c r="K620" t="str">
        <f>TEXT(checking_account_main[[#This Row],[Date]],"mmm-yyyy")</f>
        <v>Jun-2023</v>
      </c>
      <c r="L620">
        <f>_xlfn.XLOOKUP(checking_account_main[[#This Row],[Month_Year]],checking_account_main[Month_Year],checking_account_main[Balance],"",0,-1)</f>
        <v>404855</v>
      </c>
    </row>
    <row r="621" spans="1:12" x14ac:dyDescent="0.3">
      <c r="A621" s="1">
        <v>45080</v>
      </c>
      <c r="B621" t="s">
        <v>637</v>
      </c>
      <c r="C621" t="s">
        <v>8</v>
      </c>
      <c r="D621" t="s">
        <v>9</v>
      </c>
      <c r="E621" t="s">
        <v>10</v>
      </c>
      <c r="F621" s="3">
        <v>709</v>
      </c>
      <c r="G621">
        <v>390574</v>
      </c>
      <c r="H621">
        <f t="shared" si="27"/>
        <v>2023</v>
      </c>
      <c r="I621" t="str">
        <f t="shared" si="28"/>
        <v>June</v>
      </c>
      <c r="J621" t="str">
        <f t="shared" si="29"/>
        <v>Q2</v>
      </c>
      <c r="K621" t="str">
        <f>TEXT(checking_account_main[[#This Row],[Date]],"mmm-yyyy")</f>
        <v>Jun-2023</v>
      </c>
      <c r="L621">
        <f>_xlfn.XLOOKUP(checking_account_main[[#This Row],[Month_Year]],checking_account_main[Month_Year],checking_account_main[Balance],"",0,-1)</f>
        <v>404855</v>
      </c>
    </row>
    <row r="622" spans="1:12" x14ac:dyDescent="0.3">
      <c r="A622" s="1">
        <v>45081</v>
      </c>
      <c r="B622" t="s">
        <v>638</v>
      </c>
      <c r="C622" t="s">
        <v>8</v>
      </c>
      <c r="D622" t="s">
        <v>9</v>
      </c>
      <c r="E622" t="s">
        <v>10</v>
      </c>
      <c r="F622" s="3">
        <v>706</v>
      </c>
      <c r="G622">
        <v>391280</v>
      </c>
      <c r="H622">
        <f t="shared" si="27"/>
        <v>2023</v>
      </c>
      <c r="I622" t="str">
        <f t="shared" si="28"/>
        <v>June</v>
      </c>
      <c r="J622" t="str">
        <f t="shared" si="29"/>
        <v>Q2</v>
      </c>
      <c r="K622" t="str">
        <f>TEXT(checking_account_main[[#This Row],[Date]],"mmm-yyyy")</f>
        <v>Jun-2023</v>
      </c>
      <c r="L622">
        <f>_xlfn.XLOOKUP(checking_account_main[[#This Row],[Month_Year]],checking_account_main[Month_Year],checking_account_main[Balance],"",0,-1)</f>
        <v>404855</v>
      </c>
    </row>
    <row r="623" spans="1:12" x14ac:dyDescent="0.3">
      <c r="A623" s="1">
        <v>45081</v>
      </c>
      <c r="B623" t="s">
        <v>639</v>
      </c>
      <c r="C623" t="s">
        <v>47</v>
      </c>
      <c r="D623" t="s">
        <v>29</v>
      </c>
      <c r="E623" t="s">
        <v>17</v>
      </c>
      <c r="F623" s="3">
        <v>470</v>
      </c>
      <c r="G623">
        <v>390810</v>
      </c>
      <c r="H623">
        <f t="shared" si="27"/>
        <v>2023</v>
      </c>
      <c r="I623" t="str">
        <f t="shared" si="28"/>
        <v>June</v>
      </c>
      <c r="J623" t="str">
        <f t="shared" si="29"/>
        <v>Q2</v>
      </c>
      <c r="K623" t="str">
        <f>TEXT(checking_account_main[[#This Row],[Date]],"mmm-yyyy")</f>
        <v>Jun-2023</v>
      </c>
      <c r="L623">
        <f>_xlfn.XLOOKUP(checking_account_main[[#This Row],[Month_Year]],checking_account_main[Month_Year],checking_account_main[Balance],"",0,-1)</f>
        <v>404855</v>
      </c>
    </row>
    <row r="624" spans="1:12" x14ac:dyDescent="0.3">
      <c r="A624" s="1">
        <v>45082</v>
      </c>
      <c r="B624" t="s">
        <v>640</v>
      </c>
      <c r="C624" t="s">
        <v>8</v>
      </c>
      <c r="D624" t="s">
        <v>9</v>
      </c>
      <c r="E624" t="s">
        <v>10</v>
      </c>
      <c r="F624" s="3">
        <v>428</v>
      </c>
      <c r="G624">
        <v>391238</v>
      </c>
      <c r="H624">
        <f t="shared" si="27"/>
        <v>2023</v>
      </c>
      <c r="I624" t="str">
        <f t="shared" si="28"/>
        <v>June</v>
      </c>
      <c r="J624" t="str">
        <f t="shared" si="29"/>
        <v>Q2</v>
      </c>
      <c r="K624" t="str">
        <f>TEXT(checking_account_main[[#This Row],[Date]],"mmm-yyyy")</f>
        <v>Jun-2023</v>
      </c>
      <c r="L624">
        <f>_xlfn.XLOOKUP(checking_account_main[[#This Row],[Month_Year]],checking_account_main[Month_Year],checking_account_main[Balance],"",0,-1)</f>
        <v>404855</v>
      </c>
    </row>
    <row r="625" spans="1:12" x14ac:dyDescent="0.3">
      <c r="A625" s="1">
        <v>45083</v>
      </c>
      <c r="B625" t="s">
        <v>641</v>
      </c>
      <c r="C625" t="s">
        <v>8</v>
      </c>
      <c r="D625" t="s">
        <v>9</v>
      </c>
      <c r="E625" t="s">
        <v>10</v>
      </c>
      <c r="F625" s="3">
        <v>695</v>
      </c>
      <c r="G625">
        <v>391933</v>
      </c>
      <c r="H625">
        <f t="shared" si="27"/>
        <v>2023</v>
      </c>
      <c r="I625" t="str">
        <f t="shared" si="28"/>
        <v>June</v>
      </c>
      <c r="J625" t="str">
        <f t="shared" si="29"/>
        <v>Q2</v>
      </c>
      <c r="K625" t="str">
        <f>TEXT(checking_account_main[[#This Row],[Date]],"mmm-yyyy")</f>
        <v>Jun-2023</v>
      </c>
      <c r="L625">
        <f>_xlfn.XLOOKUP(checking_account_main[[#This Row],[Month_Year]],checking_account_main[Month_Year],checking_account_main[Balance],"",0,-1)</f>
        <v>404855</v>
      </c>
    </row>
    <row r="626" spans="1:12" x14ac:dyDescent="0.3">
      <c r="A626" s="1">
        <v>45084</v>
      </c>
      <c r="B626" t="s">
        <v>642</v>
      </c>
      <c r="C626" t="s">
        <v>8</v>
      </c>
      <c r="D626" t="s">
        <v>9</v>
      </c>
      <c r="E626" t="s">
        <v>10</v>
      </c>
      <c r="F626" s="3">
        <v>563</v>
      </c>
      <c r="G626">
        <v>392496</v>
      </c>
      <c r="H626">
        <f t="shared" si="27"/>
        <v>2023</v>
      </c>
      <c r="I626" t="str">
        <f t="shared" si="28"/>
        <v>June</v>
      </c>
      <c r="J626" t="str">
        <f t="shared" si="29"/>
        <v>Q2</v>
      </c>
      <c r="K626" t="str">
        <f>TEXT(checking_account_main[[#This Row],[Date]],"mmm-yyyy")</f>
        <v>Jun-2023</v>
      </c>
      <c r="L626">
        <f>_xlfn.XLOOKUP(checking_account_main[[#This Row],[Month_Year]],checking_account_main[Month_Year],checking_account_main[Balance],"",0,-1)</f>
        <v>404855</v>
      </c>
    </row>
    <row r="627" spans="1:12" x14ac:dyDescent="0.3">
      <c r="A627" s="1">
        <v>45085</v>
      </c>
      <c r="B627" t="s">
        <v>643</v>
      </c>
      <c r="C627" t="s">
        <v>8</v>
      </c>
      <c r="D627" t="s">
        <v>9</v>
      </c>
      <c r="E627" t="s">
        <v>10</v>
      </c>
      <c r="F627" s="3">
        <v>694</v>
      </c>
      <c r="G627">
        <v>393190</v>
      </c>
      <c r="H627">
        <f t="shared" si="27"/>
        <v>2023</v>
      </c>
      <c r="I627" t="str">
        <f t="shared" si="28"/>
        <v>June</v>
      </c>
      <c r="J627" t="str">
        <f t="shared" si="29"/>
        <v>Q2</v>
      </c>
      <c r="K627" t="str">
        <f>TEXT(checking_account_main[[#This Row],[Date]],"mmm-yyyy")</f>
        <v>Jun-2023</v>
      </c>
      <c r="L627">
        <f>_xlfn.XLOOKUP(checking_account_main[[#This Row],[Month_Year]],checking_account_main[Month_Year],checking_account_main[Balance],"",0,-1)</f>
        <v>404855</v>
      </c>
    </row>
    <row r="628" spans="1:12" x14ac:dyDescent="0.3">
      <c r="A628" s="1">
        <v>45086</v>
      </c>
      <c r="B628" t="s">
        <v>644</v>
      </c>
      <c r="C628" t="s">
        <v>8</v>
      </c>
      <c r="D628" t="s">
        <v>9</v>
      </c>
      <c r="E628" t="s">
        <v>10</v>
      </c>
      <c r="F628" s="3">
        <v>709</v>
      </c>
      <c r="G628">
        <v>393899</v>
      </c>
      <c r="H628">
        <f t="shared" si="27"/>
        <v>2023</v>
      </c>
      <c r="I628" t="str">
        <f t="shared" si="28"/>
        <v>June</v>
      </c>
      <c r="J628" t="str">
        <f t="shared" si="29"/>
        <v>Q2</v>
      </c>
      <c r="K628" t="str">
        <f>TEXT(checking_account_main[[#This Row],[Date]],"mmm-yyyy")</f>
        <v>Jun-2023</v>
      </c>
      <c r="L628">
        <f>_xlfn.XLOOKUP(checking_account_main[[#This Row],[Month_Year]],checking_account_main[Month_Year],checking_account_main[Balance],"",0,-1)</f>
        <v>404855</v>
      </c>
    </row>
    <row r="629" spans="1:12" x14ac:dyDescent="0.3">
      <c r="A629" s="1">
        <v>45087</v>
      </c>
      <c r="B629" t="s">
        <v>645</v>
      </c>
      <c r="C629" t="s">
        <v>8</v>
      </c>
      <c r="D629" t="s">
        <v>9</v>
      </c>
      <c r="E629" t="s">
        <v>10</v>
      </c>
      <c r="F629" s="3">
        <v>510</v>
      </c>
      <c r="G629">
        <v>394409</v>
      </c>
      <c r="H629">
        <f t="shared" si="27"/>
        <v>2023</v>
      </c>
      <c r="I629" t="str">
        <f t="shared" si="28"/>
        <v>June</v>
      </c>
      <c r="J629" t="str">
        <f t="shared" si="29"/>
        <v>Q2</v>
      </c>
      <c r="K629" t="str">
        <f>TEXT(checking_account_main[[#This Row],[Date]],"mmm-yyyy")</f>
        <v>Jun-2023</v>
      </c>
      <c r="L629">
        <f>_xlfn.XLOOKUP(checking_account_main[[#This Row],[Month_Year]],checking_account_main[Month_Year],checking_account_main[Balance],"",0,-1)</f>
        <v>404855</v>
      </c>
    </row>
    <row r="630" spans="1:12" x14ac:dyDescent="0.3">
      <c r="A630" s="1">
        <v>45088</v>
      </c>
      <c r="B630" t="s">
        <v>646</v>
      </c>
      <c r="C630" t="s">
        <v>8</v>
      </c>
      <c r="D630" t="s">
        <v>9</v>
      </c>
      <c r="E630" t="s">
        <v>10</v>
      </c>
      <c r="F630" s="3">
        <v>468</v>
      </c>
      <c r="G630">
        <v>394877</v>
      </c>
      <c r="H630">
        <f t="shared" si="27"/>
        <v>2023</v>
      </c>
      <c r="I630" t="str">
        <f t="shared" si="28"/>
        <v>June</v>
      </c>
      <c r="J630" t="str">
        <f t="shared" si="29"/>
        <v>Q2</v>
      </c>
      <c r="K630" t="str">
        <f>TEXT(checking_account_main[[#This Row],[Date]],"mmm-yyyy")</f>
        <v>Jun-2023</v>
      </c>
      <c r="L630">
        <f>_xlfn.XLOOKUP(checking_account_main[[#This Row],[Month_Year]],checking_account_main[Month_Year],checking_account_main[Balance],"",0,-1)</f>
        <v>404855</v>
      </c>
    </row>
    <row r="631" spans="1:12" x14ac:dyDescent="0.3">
      <c r="A631" s="1">
        <v>45089</v>
      </c>
      <c r="B631" t="s">
        <v>647</v>
      </c>
      <c r="C631" t="s">
        <v>8</v>
      </c>
      <c r="D631" t="s">
        <v>9</v>
      </c>
      <c r="E631" t="s">
        <v>10</v>
      </c>
      <c r="F631" s="3">
        <v>649</v>
      </c>
      <c r="G631">
        <v>395526</v>
      </c>
      <c r="H631">
        <f t="shared" si="27"/>
        <v>2023</v>
      </c>
      <c r="I631" t="str">
        <f t="shared" si="28"/>
        <v>June</v>
      </c>
      <c r="J631" t="str">
        <f t="shared" si="29"/>
        <v>Q2</v>
      </c>
      <c r="K631" t="str">
        <f>TEXT(checking_account_main[[#This Row],[Date]],"mmm-yyyy")</f>
        <v>Jun-2023</v>
      </c>
      <c r="L631">
        <f>_xlfn.XLOOKUP(checking_account_main[[#This Row],[Month_Year]],checking_account_main[Month_Year],checking_account_main[Balance],"",0,-1)</f>
        <v>404855</v>
      </c>
    </row>
    <row r="632" spans="1:12" x14ac:dyDescent="0.3">
      <c r="A632" s="1">
        <v>45089</v>
      </c>
      <c r="B632" t="s">
        <v>648</v>
      </c>
      <c r="C632" t="s">
        <v>15</v>
      </c>
      <c r="D632" t="s">
        <v>16</v>
      </c>
      <c r="E632" t="s">
        <v>17</v>
      </c>
      <c r="F632" s="3">
        <v>247</v>
      </c>
      <c r="G632">
        <v>395279</v>
      </c>
      <c r="H632">
        <f t="shared" si="27"/>
        <v>2023</v>
      </c>
      <c r="I632" t="str">
        <f t="shared" si="28"/>
        <v>June</v>
      </c>
      <c r="J632" t="str">
        <f t="shared" si="29"/>
        <v>Q2</v>
      </c>
      <c r="K632" t="str">
        <f>TEXT(checking_account_main[[#This Row],[Date]],"mmm-yyyy")</f>
        <v>Jun-2023</v>
      </c>
      <c r="L632">
        <f>_xlfn.XLOOKUP(checking_account_main[[#This Row],[Month_Year]],checking_account_main[Month_Year],checking_account_main[Balance],"",0,-1)</f>
        <v>404855</v>
      </c>
    </row>
    <row r="633" spans="1:12" x14ac:dyDescent="0.3">
      <c r="A633" s="1">
        <v>45090</v>
      </c>
      <c r="B633" t="s">
        <v>649</v>
      </c>
      <c r="C633" t="s">
        <v>8</v>
      </c>
      <c r="D633" t="s">
        <v>9</v>
      </c>
      <c r="E633" t="s">
        <v>10</v>
      </c>
      <c r="F633" s="3">
        <v>626</v>
      </c>
      <c r="G633">
        <v>395905</v>
      </c>
      <c r="H633">
        <f t="shared" si="27"/>
        <v>2023</v>
      </c>
      <c r="I633" t="str">
        <f t="shared" si="28"/>
        <v>June</v>
      </c>
      <c r="J633" t="str">
        <f t="shared" si="29"/>
        <v>Q2</v>
      </c>
      <c r="K633" t="str">
        <f>TEXT(checking_account_main[[#This Row],[Date]],"mmm-yyyy")</f>
        <v>Jun-2023</v>
      </c>
      <c r="L633">
        <f>_xlfn.XLOOKUP(checking_account_main[[#This Row],[Month_Year]],checking_account_main[Month_Year],checking_account_main[Balance],"",0,-1)</f>
        <v>404855</v>
      </c>
    </row>
    <row r="634" spans="1:12" x14ac:dyDescent="0.3">
      <c r="A634" s="1">
        <v>45091</v>
      </c>
      <c r="B634" t="s">
        <v>650</v>
      </c>
      <c r="C634" t="s">
        <v>8</v>
      </c>
      <c r="D634" t="s">
        <v>9</v>
      </c>
      <c r="E634" t="s">
        <v>10</v>
      </c>
      <c r="F634" s="3">
        <v>736</v>
      </c>
      <c r="G634">
        <v>396641</v>
      </c>
      <c r="H634">
        <f t="shared" si="27"/>
        <v>2023</v>
      </c>
      <c r="I634" t="str">
        <f t="shared" si="28"/>
        <v>June</v>
      </c>
      <c r="J634" t="str">
        <f t="shared" si="29"/>
        <v>Q2</v>
      </c>
      <c r="K634" t="str">
        <f>TEXT(checking_account_main[[#This Row],[Date]],"mmm-yyyy")</f>
        <v>Jun-2023</v>
      </c>
      <c r="L634">
        <f>_xlfn.XLOOKUP(checking_account_main[[#This Row],[Month_Year]],checking_account_main[Month_Year],checking_account_main[Balance],"",0,-1)</f>
        <v>404855</v>
      </c>
    </row>
    <row r="635" spans="1:12" x14ac:dyDescent="0.3">
      <c r="A635" s="1">
        <v>45092</v>
      </c>
      <c r="B635" t="s">
        <v>651</v>
      </c>
      <c r="C635" t="s">
        <v>8</v>
      </c>
      <c r="D635" t="s">
        <v>9</v>
      </c>
      <c r="E635" t="s">
        <v>10</v>
      </c>
      <c r="F635" s="3">
        <v>764</v>
      </c>
      <c r="G635">
        <v>397405</v>
      </c>
      <c r="H635">
        <f t="shared" si="27"/>
        <v>2023</v>
      </c>
      <c r="I635" t="str">
        <f t="shared" si="28"/>
        <v>June</v>
      </c>
      <c r="J635" t="str">
        <f t="shared" si="29"/>
        <v>Q2</v>
      </c>
      <c r="K635" t="str">
        <f>TEXT(checking_account_main[[#This Row],[Date]],"mmm-yyyy")</f>
        <v>Jun-2023</v>
      </c>
      <c r="L635">
        <f>_xlfn.XLOOKUP(checking_account_main[[#This Row],[Month_Year]],checking_account_main[Month_Year],checking_account_main[Balance],"",0,-1)</f>
        <v>404855</v>
      </c>
    </row>
    <row r="636" spans="1:12" x14ac:dyDescent="0.3">
      <c r="A636" s="1">
        <v>45092</v>
      </c>
      <c r="B636" t="s">
        <v>652</v>
      </c>
      <c r="C636" t="s">
        <v>47</v>
      </c>
      <c r="D636" t="s">
        <v>29</v>
      </c>
      <c r="E636" t="s">
        <v>17</v>
      </c>
      <c r="F636" s="3">
        <v>300</v>
      </c>
      <c r="G636">
        <v>397105</v>
      </c>
      <c r="H636">
        <f t="shared" si="27"/>
        <v>2023</v>
      </c>
      <c r="I636" t="str">
        <f t="shared" si="28"/>
        <v>June</v>
      </c>
      <c r="J636" t="str">
        <f t="shared" si="29"/>
        <v>Q2</v>
      </c>
      <c r="K636" t="str">
        <f>TEXT(checking_account_main[[#This Row],[Date]],"mmm-yyyy")</f>
        <v>Jun-2023</v>
      </c>
      <c r="L636">
        <f>_xlfn.XLOOKUP(checking_account_main[[#This Row],[Month_Year]],checking_account_main[Month_Year],checking_account_main[Balance],"",0,-1)</f>
        <v>404855</v>
      </c>
    </row>
    <row r="637" spans="1:12" x14ac:dyDescent="0.3">
      <c r="A637" s="1">
        <v>45093</v>
      </c>
      <c r="B637" t="s">
        <v>653</v>
      </c>
      <c r="C637" t="s">
        <v>8</v>
      </c>
      <c r="D637" t="s">
        <v>9</v>
      </c>
      <c r="E637" t="s">
        <v>10</v>
      </c>
      <c r="F637" s="3">
        <v>472</v>
      </c>
      <c r="G637">
        <v>397577</v>
      </c>
      <c r="H637">
        <f t="shared" si="27"/>
        <v>2023</v>
      </c>
      <c r="I637" t="str">
        <f t="shared" si="28"/>
        <v>June</v>
      </c>
      <c r="J637" t="str">
        <f t="shared" si="29"/>
        <v>Q2</v>
      </c>
      <c r="K637" t="str">
        <f>TEXT(checking_account_main[[#This Row],[Date]],"mmm-yyyy")</f>
        <v>Jun-2023</v>
      </c>
      <c r="L637">
        <f>_xlfn.XLOOKUP(checking_account_main[[#This Row],[Month_Year]],checking_account_main[Month_Year],checking_account_main[Balance],"",0,-1)</f>
        <v>404855</v>
      </c>
    </row>
    <row r="638" spans="1:12" x14ac:dyDescent="0.3">
      <c r="A638" s="1">
        <v>45093</v>
      </c>
      <c r="B638" t="s">
        <v>654</v>
      </c>
      <c r="C638" t="s">
        <v>28</v>
      </c>
      <c r="D638" t="s">
        <v>29</v>
      </c>
      <c r="E638" t="s">
        <v>17</v>
      </c>
      <c r="F638" s="3">
        <v>116</v>
      </c>
      <c r="G638">
        <v>397461</v>
      </c>
      <c r="H638">
        <f t="shared" si="27"/>
        <v>2023</v>
      </c>
      <c r="I638" t="str">
        <f t="shared" si="28"/>
        <v>June</v>
      </c>
      <c r="J638" t="str">
        <f t="shared" si="29"/>
        <v>Q2</v>
      </c>
      <c r="K638" t="str">
        <f>TEXT(checking_account_main[[#This Row],[Date]],"mmm-yyyy")</f>
        <v>Jun-2023</v>
      </c>
      <c r="L638">
        <f>_xlfn.XLOOKUP(checking_account_main[[#This Row],[Month_Year]],checking_account_main[Month_Year],checking_account_main[Balance],"",0,-1)</f>
        <v>404855</v>
      </c>
    </row>
    <row r="639" spans="1:12" x14ac:dyDescent="0.3">
      <c r="A639" s="1">
        <v>45094</v>
      </c>
      <c r="B639" t="s">
        <v>655</v>
      </c>
      <c r="C639" t="s">
        <v>8</v>
      </c>
      <c r="D639" t="s">
        <v>9</v>
      </c>
      <c r="E639" t="s">
        <v>10</v>
      </c>
      <c r="F639" s="3">
        <v>616</v>
      </c>
      <c r="G639">
        <v>398077</v>
      </c>
      <c r="H639">
        <f t="shared" si="27"/>
        <v>2023</v>
      </c>
      <c r="I639" t="str">
        <f t="shared" si="28"/>
        <v>June</v>
      </c>
      <c r="J639" t="str">
        <f t="shared" si="29"/>
        <v>Q2</v>
      </c>
      <c r="K639" t="str">
        <f>TEXT(checking_account_main[[#This Row],[Date]],"mmm-yyyy")</f>
        <v>Jun-2023</v>
      </c>
      <c r="L639">
        <f>_xlfn.XLOOKUP(checking_account_main[[#This Row],[Month_Year]],checking_account_main[Month_Year],checking_account_main[Balance],"",0,-1)</f>
        <v>404855</v>
      </c>
    </row>
    <row r="640" spans="1:12" x14ac:dyDescent="0.3">
      <c r="A640" s="1">
        <v>45095</v>
      </c>
      <c r="B640" t="s">
        <v>656</v>
      </c>
      <c r="C640" t="s">
        <v>8</v>
      </c>
      <c r="D640" t="s">
        <v>9</v>
      </c>
      <c r="E640" t="s">
        <v>10</v>
      </c>
      <c r="F640" s="3">
        <v>503</v>
      </c>
      <c r="G640">
        <v>398580</v>
      </c>
      <c r="H640">
        <f t="shared" si="27"/>
        <v>2023</v>
      </c>
      <c r="I640" t="str">
        <f t="shared" si="28"/>
        <v>June</v>
      </c>
      <c r="J640" t="str">
        <f t="shared" si="29"/>
        <v>Q2</v>
      </c>
      <c r="K640" t="str">
        <f>TEXT(checking_account_main[[#This Row],[Date]],"mmm-yyyy")</f>
        <v>Jun-2023</v>
      </c>
      <c r="L640">
        <f>_xlfn.XLOOKUP(checking_account_main[[#This Row],[Month_Year]],checking_account_main[Month_Year],checking_account_main[Balance],"",0,-1)</f>
        <v>404855</v>
      </c>
    </row>
    <row r="641" spans="1:12" x14ac:dyDescent="0.3">
      <c r="A641" s="1">
        <v>45096</v>
      </c>
      <c r="B641" t="s">
        <v>657</v>
      </c>
      <c r="C641" t="s">
        <v>8</v>
      </c>
      <c r="D641" t="s">
        <v>9</v>
      </c>
      <c r="E641" t="s">
        <v>10</v>
      </c>
      <c r="F641" s="3">
        <v>438</v>
      </c>
      <c r="G641">
        <v>399018</v>
      </c>
      <c r="H641">
        <f t="shared" si="27"/>
        <v>2023</v>
      </c>
      <c r="I641" t="str">
        <f t="shared" si="28"/>
        <v>June</v>
      </c>
      <c r="J641" t="str">
        <f t="shared" si="29"/>
        <v>Q2</v>
      </c>
      <c r="K641" t="str">
        <f>TEXT(checking_account_main[[#This Row],[Date]],"mmm-yyyy")</f>
        <v>Jun-2023</v>
      </c>
      <c r="L641">
        <f>_xlfn.XLOOKUP(checking_account_main[[#This Row],[Month_Year]],checking_account_main[Month_Year],checking_account_main[Balance],"",0,-1)</f>
        <v>404855</v>
      </c>
    </row>
    <row r="642" spans="1:12" x14ac:dyDescent="0.3">
      <c r="A642" s="1">
        <v>45096</v>
      </c>
      <c r="B642" t="s">
        <v>658</v>
      </c>
      <c r="C642" t="s">
        <v>22</v>
      </c>
      <c r="D642" t="s">
        <v>16</v>
      </c>
      <c r="E642" t="s">
        <v>17</v>
      </c>
      <c r="F642" s="3">
        <v>328</v>
      </c>
      <c r="G642">
        <v>398690</v>
      </c>
      <c r="H642">
        <f t="shared" ref="H642:H705" si="30">YEAR(A642)</f>
        <v>2023</v>
      </c>
      <c r="I642" t="str">
        <f t="shared" ref="I642:I705" si="31">TEXT(A642,"mmmm")</f>
        <v>June</v>
      </c>
      <c r="J642" t="str">
        <f t="shared" ref="J642:J705" si="32">"Q"&amp;ROUNDUP(MONTH(A642)/3,0)</f>
        <v>Q2</v>
      </c>
      <c r="K642" t="str">
        <f>TEXT(checking_account_main[[#This Row],[Date]],"mmm-yyyy")</f>
        <v>Jun-2023</v>
      </c>
      <c r="L642">
        <f>_xlfn.XLOOKUP(checking_account_main[[#This Row],[Month_Year]],checking_account_main[Month_Year],checking_account_main[Balance],"",0,-1)</f>
        <v>404855</v>
      </c>
    </row>
    <row r="643" spans="1:12" x14ac:dyDescent="0.3">
      <c r="A643" s="1">
        <v>45097</v>
      </c>
      <c r="B643" t="s">
        <v>659</v>
      </c>
      <c r="C643" t="s">
        <v>8</v>
      </c>
      <c r="D643" t="s">
        <v>9</v>
      </c>
      <c r="E643" t="s">
        <v>10</v>
      </c>
      <c r="F643" s="3">
        <v>571</v>
      </c>
      <c r="G643">
        <v>399261</v>
      </c>
      <c r="H643">
        <f t="shared" si="30"/>
        <v>2023</v>
      </c>
      <c r="I643" t="str">
        <f t="shared" si="31"/>
        <v>June</v>
      </c>
      <c r="J643" t="str">
        <f t="shared" si="32"/>
        <v>Q2</v>
      </c>
      <c r="K643" t="str">
        <f>TEXT(checking_account_main[[#This Row],[Date]],"mmm-yyyy")</f>
        <v>Jun-2023</v>
      </c>
      <c r="L643">
        <f>_xlfn.XLOOKUP(checking_account_main[[#This Row],[Month_Year]],checking_account_main[Month_Year],checking_account_main[Balance],"",0,-1)</f>
        <v>404855</v>
      </c>
    </row>
    <row r="644" spans="1:12" x14ac:dyDescent="0.3">
      <c r="A644" s="1">
        <v>45098</v>
      </c>
      <c r="B644" t="s">
        <v>660</v>
      </c>
      <c r="C644" t="s">
        <v>8</v>
      </c>
      <c r="D644" t="s">
        <v>9</v>
      </c>
      <c r="E644" t="s">
        <v>10</v>
      </c>
      <c r="F644" s="3">
        <v>501</v>
      </c>
      <c r="G644">
        <v>399762</v>
      </c>
      <c r="H644">
        <f t="shared" si="30"/>
        <v>2023</v>
      </c>
      <c r="I644" t="str">
        <f t="shared" si="31"/>
        <v>June</v>
      </c>
      <c r="J644" t="str">
        <f t="shared" si="32"/>
        <v>Q2</v>
      </c>
      <c r="K644" t="str">
        <f>TEXT(checking_account_main[[#This Row],[Date]],"mmm-yyyy")</f>
        <v>Jun-2023</v>
      </c>
      <c r="L644">
        <f>_xlfn.XLOOKUP(checking_account_main[[#This Row],[Month_Year]],checking_account_main[Month_Year],checking_account_main[Balance],"",0,-1)</f>
        <v>404855</v>
      </c>
    </row>
    <row r="645" spans="1:12" x14ac:dyDescent="0.3">
      <c r="A645" s="1">
        <v>45099</v>
      </c>
      <c r="B645" t="s">
        <v>661</v>
      </c>
      <c r="C645" t="s">
        <v>8</v>
      </c>
      <c r="D645" t="s">
        <v>9</v>
      </c>
      <c r="E645" t="s">
        <v>10</v>
      </c>
      <c r="F645" s="3">
        <v>674</v>
      </c>
      <c r="G645">
        <v>400436</v>
      </c>
      <c r="H645">
        <f t="shared" si="30"/>
        <v>2023</v>
      </c>
      <c r="I645" t="str">
        <f t="shared" si="31"/>
        <v>June</v>
      </c>
      <c r="J645" t="str">
        <f t="shared" si="32"/>
        <v>Q2</v>
      </c>
      <c r="K645" t="str">
        <f>TEXT(checking_account_main[[#This Row],[Date]],"mmm-yyyy")</f>
        <v>Jun-2023</v>
      </c>
      <c r="L645">
        <f>_xlfn.XLOOKUP(checking_account_main[[#This Row],[Month_Year]],checking_account_main[Month_Year],checking_account_main[Balance],"",0,-1)</f>
        <v>404855</v>
      </c>
    </row>
    <row r="646" spans="1:12" x14ac:dyDescent="0.3">
      <c r="A646" s="1">
        <v>45100</v>
      </c>
      <c r="B646" t="s">
        <v>662</v>
      </c>
      <c r="C646" t="s">
        <v>8</v>
      </c>
      <c r="D646" t="s">
        <v>9</v>
      </c>
      <c r="E646" t="s">
        <v>10</v>
      </c>
      <c r="F646" s="3">
        <v>704</v>
      </c>
      <c r="G646">
        <v>401140</v>
      </c>
      <c r="H646">
        <f t="shared" si="30"/>
        <v>2023</v>
      </c>
      <c r="I646" t="str">
        <f t="shared" si="31"/>
        <v>June</v>
      </c>
      <c r="J646" t="str">
        <f t="shared" si="32"/>
        <v>Q2</v>
      </c>
      <c r="K646" t="str">
        <f>TEXT(checking_account_main[[#This Row],[Date]],"mmm-yyyy")</f>
        <v>Jun-2023</v>
      </c>
      <c r="L646">
        <f>_xlfn.XLOOKUP(checking_account_main[[#This Row],[Month_Year]],checking_account_main[Month_Year],checking_account_main[Balance],"",0,-1)</f>
        <v>404855</v>
      </c>
    </row>
    <row r="647" spans="1:12" x14ac:dyDescent="0.3">
      <c r="A647" s="1">
        <v>45100</v>
      </c>
      <c r="B647" t="s">
        <v>663</v>
      </c>
      <c r="C647" t="s">
        <v>28</v>
      </c>
      <c r="D647" t="s">
        <v>29</v>
      </c>
      <c r="E647" t="s">
        <v>17</v>
      </c>
      <c r="F647" s="3">
        <v>429</v>
      </c>
      <c r="G647">
        <v>400711</v>
      </c>
      <c r="H647">
        <f t="shared" si="30"/>
        <v>2023</v>
      </c>
      <c r="I647" t="str">
        <f t="shared" si="31"/>
        <v>June</v>
      </c>
      <c r="J647" t="str">
        <f t="shared" si="32"/>
        <v>Q2</v>
      </c>
      <c r="K647" t="str">
        <f>TEXT(checking_account_main[[#This Row],[Date]],"mmm-yyyy")</f>
        <v>Jun-2023</v>
      </c>
      <c r="L647">
        <f>_xlfn.XLOOKUP(checking_account_main[[#This Row],[Month_Year]],checking_account_main[Month_Year],checking_account_main[Balance],"",0,-1)</f>
        <v>404855</v>
      </c>
    </row>
    <row r="648" spans="1:12" x14ac:dyDescent="0.3">
      <c r="A648" s="1">
        <v>45101</v>
      </c>
      <c r="B648" t="s">
        <v>664</v>
      </c>
      <c r="C648" t="s">
        <v>8</v>
      </c>
      <c r="D648" t="s">
        <v>9</v>
      </c>
      <c r="E648" t="s">
        <v>10</v>
      </c>
      <c r="F648" s="3">
        <v>710</v>
      </c>
      <c r="G648">
        <v>401421</v>
      </c>
      <c r="H648">
        <f t="shared" si="30"/>
        <v>2023</v>
      </c>
      <c r="I648" t="str">
        <f t="shared" si="31"/>
        <v>June</v>
      </c>
      <c r="J648" t="str">
        <f t="shared" si="32"/>
        <v>Q2</v>
      </c>
      <c r="K648" t="str">
        <f>TEXT(checking_account_main[[#This Row],[Date]],"mmm-yyyy")</f>
        <v>Jun-2023</v>
      </c>
      <c r="L648">
        <f>_xlfn.XLOOKUP(checking_account_main[[#This Row],[Month_Year]],checking_account_main[Month_Year],checking_account_main[Balance],"",0,-1)</f>
        <v>404855</v>
      </c>
    </row>
    <row r="649" spans="1:12" x14ac:dyDescent="0.3">
      <c r="A649" s="1">
        <v>45102</v>
      </c>
      <c r="B649" t="s">
        <v>665</v>
      </c>
      <c r="C649" t="s">
        <v>8</v>
      </c>
      <c r="D649" t="s">
        <v>9</v>
      </c>
      <c r="E649" t="s">
        <v>10</v>
      </c>
      <c r="F649" s="3">
        <v>411</v>
      </c>
      <c r="G649">
        <v>401832</v>
      </c>
      <c r="H649">
        <f t="shared" si="30"/>
        <v>2023</v>
      </c>
      <c r="I649" t="str">
        <f t="shared" si="31"/>
        <v>June</v>
      </c>
      <c r="J649" t="str">
        <f t="shared" si="32"/>
        <v>Q2</v>
      </c>
      <c r="K649" t="str">
        <f>TEXT(checking_account_main[[#This Row],[Date]],"mmm-yyyy")</f>
        <v>Jun-2023</v>
      </c>
      <c r="L649">
        <f>_xlfn.XLOOKUP(checking_account_main[[#This Row],[Month_Year]],checking_account_main[Month_Year],checking_account_main[Balance],"",0,-1)</f>
        <v>404855</v>
      </c>
    </row>
    <row r="650" spans="1:12" x14ac:dyDescent="0.3">
      <c r="A650" s="1">
        <v>45103</v>
      </c>
      <c r="B650" t="s">
        <v>666</v>
      </c>
      <c r="C650" t="s">
        <v>8</v>
      </c>
      <c r="D650" t="s">
        <v>9</v>
      </c>
      <c r="E650" t="s">
        <v>10</v>
      </c>
      <c r="F650" s="3">
        <v>615</v>
      </c>
      <c r="G650">
        <v>402447</v>
      </c>
      <c r="H650">
        <f t="shared" si="30"/>
        <v>2023</v>
      </c>
      <c r="I650" t="str">
        <f t="shared" si="31"/>
        <v>June</v>
      </c>
      <c r="J650" t="str">
        <f t="shared" si="32"/>
        <v>Q2</v>
      </c>
      <c r="K650" t="str">
        <f>TEXT(checking_account_main[[#This Row],[Date]],"mmm-yyyy")</f>
        <v>Jun-2023</v>
      </c>
      <c r="L650">
        <f>_xlfn.XLOOKUP(checking_account_main[[#This Row],[Month_Year]],checking_account_main[Month_Year],checking_account_main[Balance],"",0,-1)</f>
        <v>404855</v>
      </c>
    </row>
    <row r="651" spans="1:12" x14ac:dyDescent="0.3">
      <c r="A651" s="1">
        <v>45104</v>
      </c>
      <c r="B651" t="s">
        <v>667</v>
      </c>
      <c r="C651" t="s">
        <v>8</v>
      </c>
      <c r="D651" t="s">
        <v>9</v>
      </c>
      <c r="E651" t="s">
        <v>10</v>
      </c>
      <c r="F651" s="3">
        <v>548</v>
      </c>
      <c r="G651">
        <v>402995</v>
      </c>
      <c r="H651">
        <f t="shared" si="30"/>
        <v>2023</v>
      </c>
      <c r="I651" t="str">
        <f t="shared" si="31"/>
        <v>June</v>
      </c>
      <c r="J651" t="str">
        <f t="shared" si="32"/>
        <v>Q2</v>
      </c>
      <c r="K651" t="str">
        <f>TEXT(checking_account_main[[#This Row],[Date]],"mmm-yyyy")</f>
        <v>Jun-2023</v>
      </c>
      <c r="L651">
        <f>_xlfn.XLOOKUP(checking_account_main[[#This Row],[Month_Year]],checking_account_main[Month_Year],checking_account_main[Balance],"",0,-1)</f>
        <v>404855</v>
      </c>
    </row>
    <row r="652" spans="1:12" x14ac:dyDescent="0.3">
      <c r="A652" s="1">
        <v>45105</v>
      </c>
      <c r="B652" t="s">
        <v>668</v>
      </c>
      <c r="C652" t="s">
        <v>8</v>
      </c>
      <c r="D652" t="s">
        <v>9</v>
      </c>
      <c r="E652" t="s">
        <v>10</v>
      </c>
      <c r="F652" s="3">
        <v>773</v>
      </c>
      <c r="G652">
        <v>403768</v>
      </c>
      <c r="H652">
        <f t="shared" si="30"/>
        <v>2023</v>
      </c>
      <c r="I652" t="str">
        <f t="shared" si="31"/>
        <v>June</v>
      </c>
      <c r="J652" t="str">
        <f t="shared" si="32"/>
        <v>Q2</v>
      </c>
      <c r="K652" t="str">
        <f>TEXT(checking_account_main[[#This Row],[Date]],"mmm-yyyy")</f>
        <v>Jun-2023</v>
      </c>
      <c r="L652">
        <f>_xlfn.XLOOKUP(checking_account_main[[#This Row],[Month_Year]],checking_account_main[Month_Year],checking_account_main[Balance],"",0,-1)</f>
        <v>404855</v>
      </c>
    </row>
    <row r="653" spans="1:12" x14ac:dyDescent="0.3">
      <c r="A653" s="1">
        <v>45106</v>
      </c>
      <c r="B653" t="s">
        <v>669</v>
      </c>
      <c r="C653" t="s">
        <v>8</v>
      </c>
      <c r="D653" t="s">
        <v>9</v>
      </c>
      <c r="E653" t="s">
        <v>10</v>
      </c>
      <c r="F653" s="3">
        <v>599</v>
      </c>
      <c r="G653">
        <v>404367</v>
      </c>
      <c r="H653">
        <f t="shared" si="30"/>
        <v>2023</v>
      </c>
      <c r="I653" t="str">
        <f t="shared" si="31"/>
        <v>June</v>
      </c>
      <c r="J653" t="str">
        <f t="shared" si="32"/>
        <v>Q2</v>
      </c>
      <c r="K653" t="str">
        <f>TEXT(checking_account_main[[#This Row],[Date]],"mmm-yyyy")</f>
        <v>Jun-2023</v>
      </c>
      <c r="L653">
        <f>_xlfn.XLOOKUP(checking_account_main[[#This Row],[Month_Year]],checking_account_main[Month_Year],checking_account_main[Balance],"",0,-1)</f>
        <v>404855</v>
      </c>
    </row>
    <row r="654" spans="1:12" x14ac:dyDescent="0.3">
      <c r="A654" s="1">
        <v>45107</v>
      </c>
      <c r="B654" t="s">
        <v>670</v>
      </c>
      <c r="C654" t="s">
        <v>8</v>
      </c>
      <c r="D654" t="s">
        <v>9</v>
      </c>
      <c r="E654" t="s">
        <v>10</v>
      </c>
      <c r="F654" s="3">
        <v>488</v>
      </c>
      <c r="G654">
        <v>404855</v>
      </c>
      <c r="H654">
        <f t="shared" si="30"/>
        <v>2023</v>
      </c>
      <c r="I654" t="str">
        <f t="shared" si="31"/>
        <v>June</v>
      </c>
      <c r="J654" t="str">
        <f t="shared" si="32"/>
        <v>Q2</v>
      </c>
      <c r="K654" t="str">
        <f>TEXT(checking_account_main[[#This Row],[Date]],"mmm-yyyy")</f>
        <v>Jun-2023</v>
      </c>
      <c r="L654">
        <f>_xlfn.XLOOKUP(checking_account_main[[#This Row],[Month_Year]],checking_account_main[Month_Year],checking_account_main[Balance],"",0,-1)</f>
        <v>404855</v>
      </c>
    </row>
    <row r="655" spans="1:12" x14ac:dyDescent="0.3">
      <c r="A655" s="1">
        <v>45108</v>
      </c>
      <c r="B655" t="s">
        <v>671</v>
      </c>
      <c r="C655" t="s">
        <v>8</v>
      </c>
      <c r="D655" t="s">
        <v>9</v>
      </c>
      <c r="E655" t="s">
        <v>10</v>
      </c>
      <c r="F655" s="3">
        <v>558</v>
      </c>
      <c r="G655">
        <v>405413</v>
      </c>
      <c r="H655">
        <f t="shared" si="30"/>
        <v>2023</v>
      </c>
      <c r="I655" t="str">
        <f t="shared" si="31"/>
        <v>July</v>
      </c>
      <c r="J655" t="str">
        <f t="shared" si="32"/>
        <v>Q3</v>
      </c>
      <c r="K655" t="str">
        <f>TEXT(checking_account_main[[#This Row],[Date]],"mmm-yyyy")</f>
        <v>Jul-2023</v>
      </c>
      <c r="L655">
        <f>_xlfn.XLOOKUP(checking_account_main[[#This Row],[Month_Year]],checking_account_main[Month_Year],checking_account_main[Balance],"",0,-1)</f>
        <v>426330</v>
      </c>
    </row>
    <row r="656" spans="1:12" x14ac:dyDescent="0.3">
      <c r="A656" s="1">
        <v>45109</v>
      </c>
      <c r="B656" t="s">
        <v>672</v>
      </c>
      <c r="C656" t="s">
        <v>8</v>
      </c>
      <c r="D656" t="s">
        <v>9</v>
      </c>
      <c r="E656" t="s">
        <v>10</v>
      </c>
      <c r="F656" s="3">
        <v>864</v>
      </c>
      <c r="G656">
        <v>406277</v>
      </c>
      <c r="H656">
        <f t="shared" si="30"/>
        <v>2023</v>
      </c>
      <c r="I656" t="str">
        <f t="shared" si="31"/>
        <v>July</v>
      </c>
      <c r="J656" t="str">
        <f t="shared" si="32"/>
        <v>Q3</v>
      </c>
      <c r="K656" t="str">
        <f>TEXT(checking_account_main[[#This Row],[Date]],"mmm-yyyy")</f>
        <v>Jul-2023</v>
      </c>
      <c r="L656">
        <f>_xlfn.XLOOKUP(checking_account_main[[#This Row],[Month_Year]],checking_account_main[Month_Year],checking_account_main[Balance],"",0,-1)</f>
        <v>426330</v>
      </c>
    </row>
    <row r="657" spans="1:12" x14ac:dyDescent="0.3">
      <c r="A657" s="1">
        <v>45110</v>
      </c>
      <c r="B657" t="s">
        <v>673</v>
      </c>
      <c r="C657" t="s">
        <v>8</v>
      </c>
      <c r="D657" t="s">
        <v>9</v>
      </c>
      <c r="E657" t="s">
        <v>10</v>
      </c>
      <c r="F657" s="3">
        <v>787</v>
      </c>
      <c r="G657">
        <v>407064</v>
      </c>
      <c r="H657">
        <f t="shared" si="30"/>
        <v>2023</v>
      </c>
      <c r="I657" t="str">
        <f t="shared" si="31"/>
        <v>July</v>
      </c>
      <c r="J657" t="str">
        <f t="shared" si="32"/>
        <v>Q3</v>
      </c>
      <c r="K657" t="str">
        <f>TEXT(checking_account_main[[#This Row],[Date]],"mmm-yyyy")</f>
        <v>Jul-2023</v>
      </c>
      <c r="L657">
        <f>_xlfn.XLOOKUP(checking_account_main[[#This Row],[Month_Year]],checking_account_main[Month_Year],checking_account_main[Balance],"",0,-1)</f>
        <v>426330</v>
      </c>
    </row>
    <row r="658" spans="1:12" x14ac:dyDescent="0.3">
      <c r="A658" s="1">
        <v>45111</v>
      </c>
      <c r="B658" t="s">
        <v>674</v>
      </c>
      <c r="C658" t="s">
        <v>8</v>
      </c>
      <c r="D658" t="s">
        <v>9</v>
      </c>
      <c r="E658" t="s">
        <v>10</v>
      </c>
      <c r="F658" s="3">
        <v>698</v>
      </c>
      <c r="G658">
        <v>407762</v>
      </c>
      <c r="H658">
        <f t="shared" si="30"/>
        <v>2023</v>
      </c>
      <c r="I658" t="str">
        <f t="shared" si="31"/>
        <v>July</v>
      </c>
      <c r="J658" t="str">
        <f t="shared" si="32"/>
        <v>Q3</v>
      </c>
      <c r="K658" t="str">
        <f>TEXT(checking_account_main[[#This Row],[Date]],"mmm-yyyy")</f>
        <v>Jul-2023</v>
      </c>
      <c r="L658">
        <f>_xlfn.XLOOKUP(checking_account_main[[#This Row],[Month_Year]],checking_account_main[Month_Year],checking_account_main[Balance],"",0,-1)</f>
        <v>426330</v>
      </c>
    </row>
    <row r="659" spans="1:12" x14ac:dyDescent="0.3">
      <c r="A659" s="1">
        <v>45112</v>
      </c>
      <c r="B659" t="s">
        <v>675</v>
      </c>
      <c r="C659" t="s">
        <v>8</v>
      </c>
      <c r="D659" t="s">
        <v>9</v>
      </c>
      <c r="E659" t="s">
        <v>10</v>
      </c>
      <c r="F659" s="3">
        <v>781</v>
      </c>
      <c r="G659">
        <v>408543</v>
      </c>
      <c r="H659">
        <f t="shared" si="30"/>
        <v>2023</v>
      </c>
      <c r="I659" t="str">
        <f t="shared" si="31"/>
        <v>July</v>
      </c>
      <c r="J659" t="str">
        <f t="shared" si="32"/>
        <v>Q3</v>
      </c>
      <c r="K659" t="str">
        <f>TEXT(checking_account_main[[#This Row],[Date]],"mmm-yyyy")</f>
        <v>Jul-2023</v>
      </c>
      <c r="L659">
        <f>_xlfn.XLOOKUP(checking_account_main[[#This Row],[Month_Year]],checking_account_main[Month_Year],checking_account_main[Balance],"",0,-1)</f>
        <v>426330</v>
      </c>
    </row>
    <row r="660" spans="1:12" x14ac:dyDescent="0.3">
      <c r="A660" s="1">
        <v>45113</v>
      </c>
      <c r="B660" t="s">
        <v>676</v>
      </c>
      <c r="C660" t="s">
        <v>8</v>
      </c>
      <c r="D660" t="s">
        <v>9</v>
      </c>
      <c r="E660" t="s">
        <v>10</v>
      </c>
      <c r="F660" s="3">
        <v>749</v>
      </c>
      <c r="G660">
        <v>409292</v>
      </c>
      <c r="H660">
        <f t="shared" si="30"/>
        <v>2023</v>
      </c>
      <c r="I660" t="str">
        <f t="shared" si="31"/>
        <v>July</v>
      </c>
      <c r="J660" t="str">
        <f t="shared" si="32"/>
        <v>Q3</v>
      </c>
      <c r="K660" t="str">
        <f>TEXT(checking_account_main[[#This Row],[Date]],"mmm-yyyy")</f>
        <v>Jul-2023</v>
      </c>
      <c r="L660">
        <f>_xlfn.XLOOKUP(checking_account_main[[#This Row],[Month_Year]],checking_account_main[Month_Year],checking_account_main[Balance],"",0,-1)</f>
        <v>426330</v>
      </c>
    </row>
    <row r="661" spans="1:12" x14ac:dyDescent="0.3">
      <c r="A661" s="1">
        <v>45114</v>
      </c>
      <c r="B661" t="s">
        <v>677</v>
      </c>
      <c r="C661" t="s">
        <v>8</v>
      </c>
      <c r="D661" t="s">
        <v>9</v>
      </c>
      <c r="E661" t="s">
        <v>10</v>
      </c>
      <c r="F661" s="3">
        <v>834</v>
      </c>
      <c r="G661">
        <v>410126</v>
      </c>
      <c r="H661">
        <f t="shared" si="30"/>
        <v>2023</v>
      </c>
      <c r="I661" t="str">
        <f t="shared" si="31"/>
        <v>July</v>
      </c>
      <c r="J661" t="str">
        <f t="shared" si="32"/>
        <v>Q3</v>
      </c>
      <c r="K661" t="str">
        <f>TEXT(checking_account_main[[#This Row],[Date]],"mmm-yyyy")</f>
        <v>Jul-2023</v>
      </c>
      <c r="L661">
        <f>_xlfn.XLOOKUP(checking_account_main[[#This Row],[Month_Year]],checking_account_main[Month_Year],checking_account_main[Balance],"",0,-1)</f>
        <v>426330</v>
      </c>
    </row>
    <row r="662" spans="1:12" x14ac:dyDescent="0.3">
      <c r="A662" s="1">
        <v>45115</v>
      </c>
      <c r="B662" t="s">
        <v>678</v>
      </c>
      <c r="C662" t="s">
        <v>8</v>
      </c>
      <c r="D662" t="s">
        <v>9</v>
      </c>
      <c r="E662" t="s">
        <v>10</v>
      </c>
      <c r="F662" s="3">
        <v>636</v>
      </c>
      <c r="G662">
        <v>410762</v>
      </c>
      <c r="H662">
        <f t="shared" si="30"/>
        <v>2023</v>
      </c>
      <c r="I662" t="str">
        <f t="shared" si="31"/>
        <v>July</v>
      </c>
      <c r="J662" t="str">
        <f t="shared" si="32"/>
        <v>Q3</v>
      </c>
      <c r="K662" t="str">
        <f>TEXT(checking_account_main[[#This Row],[Date]],"mmm-yyyy")</f>
        <v>Jul-2023</v>
      </c>
      <c r="L662">
        <f>_xlfn.XLOOKUP(checking_account_main[[#This Row],[Month_Year]],checking_account_main[Month_Year],checking_account_main[Balance],"",0,-1)</f>
        <v>426330</v>
      </c>
    </row>
    <row r="663" spans="1:12" x14ac:dyDescent="0.3">
      <c r="A663" s="1">
        <v>45115</v>
      </c>
      <c r="B663" t="s">
        <v>679</v>
      </c>
      <c r="C663" t="s">
        <v>47</v>
      </c>
      <c r="D663" t="s">
        <v>29</v>
      </c>
      <c r="E663" t="s">
        <v>17</v>
      </c>
      <c r="F663" s="3">
        <v>427</v>
      </c>
      <c r="G663">
        <v>410335</v>
      </c>
      <c r="H663">
        <f t="shared" si="30"/>
        <v>2023</v>
      </c>
      <c r="I663" t="str">
        <f t="shared" si="31"/>
        <v>July</v>
      </c>
      <c r="J663" t="str">
        <f t="shared" si="32"/>
        <v>Q3</v>
      </c>
      <c r="K663" t="str">
        <f>TEXT(checking_account_main[[#This Row],[Date]],"mmm-yyyy")</f>
        <v>Jul-2023</v>
      </c>
      <c r="L663">
        <f>_xlfn.XLOOKUP(checking_account_main[[#This Row],[Month_Year]],checking_account_main[Month_Year],checking_account_main[Balance],"",0,-1)</f>
        <v>426330</v>
      </c>
    </row>
    <row r="664" spans="1:12" x14ac:dyDescent="0.3">
      <c r="A664" s="1">
        <v>45116</v>
      </c>
      <c r="B664" t="s">
        <v>680</v>
      </c>
      <c r="C664" t="s">
        <v>8</v>
      </c>
      <c r="D664" t="s">
        <v>9</v>
      </c>
      <c r="E664" t="s">
        <v>10</v>
      </c>
      <c r="F664" s="3">
        <v>814</v>
      </c>
      <c r="G664">
        <v>411149</v>
      </c>
      <c r="H664">
        <f t="shared" si="30"/>
        <v>2023</v>
      </c>
      <c r="I664" t="str">
        <f t="shared" si="31"/>
        <v>July</v>
      </c>
      <c r="J664" t="str">
        <f t="shared" si="32"/>
        <v>Q3</v>
      </c>
      <c r="K664" t="str">
        <f>TEXT(checking_account_main[[#This Row],[Date]],"mmm-yyyy")</f>
        <v>Jul-2023</v>
      </c>
      <c r="L664">
        <f>_xlfn.XLOOKUP(checking_account_main[[#This Row],[Month_Year]],checking_account_main[Month_Year],checking_account_main[Balance],"",0,-1)</f>
        <v>426330</v>
      </c>
    </row>
    <row r="665" spans="1:12" x14ac:dyDescent="0.3">
      <c r="A665" s="1">
        <v>45117</v>
      </c>
      <c r="B665" t="s">
        <v>681</v>
      </c>
      <c r="C665" t="s">
        <v>8</v>
      </c>
      <c r="D665" t="s">
        <v>9</v>
      </c>
      <c r="E665" t="s">
        <v>10</v>
      </c>
      <c r="F665" s="3">
        <v>581</v>
      </c>
      <c r="G665">
        <v>411730</v>
      </c>
      <c r="H665">
        <f t="shared" si="30"/>
        <v>2023</v>
      </c>
      <c r="I665" t="str">
        <f t="shared" si="31"/>
        <v>July</v>
      </c>
      <c r="J665" t="str">
        <f t="shared" si="32"/>
        <v>Q3</v>
      </c>
      <c r="K665" t="str">
        <f>TEXT(checking_account_main[[#This Row],[Date]],"mmm-yyyy")</f>
        <v>Jul-2023</v>
      </c>
      <c r="L665">
        <f>_xlfn.XLOOKUP(checking_account_main[[#This Row],[Month_Year]],checking_account_main[Month_Year],checking_account_main[Balance],"",0,-1)</f>
        <v>426330</v>
      </c>
    </row>
    <row r="666" spans="1:12" x14ac:dyDescent="0.3">
      <c r="A666" s="1">
        <v>45118</v>
      </c>
      <c r="B666" t="s">
        <v>682</v>
      </c>
      <c r="C666" t="s">
        <v>8</v>
      </c>
      <c r="D666" t="s">
        <v>9</v>
      </c>
      <c r="E666" t="s">
        <v>10</v>
      </c>
      <c r="F666" s="3">
        <v>871</v>
      </c>
      <c r="G666">
        <v>412601</v>
      </c>
      <c r="H666">
        <f t="shared" si="30"/>
        <v>2023</v>
      </c>
      <c r="I666" t="str">
        <f t="shared" si="31"/>
        <v>July</v>
      </c>
      <c r="J666" t="str">
        <f t="shared" si="32"/>
        <v>Q3</v>
      </c>
      <c r="K666" t="str">
        <f>TEXT(checking_account_main[[#This Row],[Date]],"mmm-yyyy")</f>
        <v>Jul-2023</v>
      </c>
      <c r="L666">
        <f>_xlfn.XLOOKUP(checking_account_main[[#This Row],[Month_Year]],checking_account_main[Month_Year],checking_account_main[Balance],"",0,-1)</f>
        <v>426330</v>
      </c>
    </row>
    <row r="667" spans="1:12" x14ac:dyDescent="0.3">
      <c r="A667" s="1">
        <v>45119</v>
      </c>
      <c r="B667" t="s">
        <v>683</v>
      </c>
      <c r="C667" t="s">
        <v>8</v>
      </c>
      <c r="D667" t="s">
        <v>9</v>
      </c>
      <c r="E667" t="s">
        <v>10</v>
      </c>
      <c r="F667" s="3">
        <v>901</v>
      </c>
      <c r="G667">
        <v>413502</v>
      </c>
      <c r="H667">
        <f t="shared" si="30"/>
        <v>2023</v>
      </c>
      <c r="I667" t="str">
        <f t="shared" si="31"/>
        <v>July</v>
      </c>
      <c r="J667" t="str">
        <f t="shared" si="32"/>
        <v>Q3</v>
      </c>
      <c r="K667" t="str">
        <f>TEXT(checking_account_main[[#This Row],[Date]],"mmm-yyyy")</f>
        <v>Jul-2023</v>
      </c>
      <c r="L667">
        <f>_xlfn.XLOOKUP(checking_account_main[[#This Row],[Month_Year]],checking_account_main[Month_Year],checking_account_main[Balance],"",0,-1)</f>
        <v>426330</v>
      </c>
    </row>
    <row r="668" spans="1:12" x14ac:dyDescent="0.3">
      <c r="A668" s="1">
        <v>45120</v>
      </c>
      <c r="B668" t="s">
        <v>684</v>
      </c>
      <c r="C668" t="s">
        <v>8</v>
      </c>
      <c r="D668" t="s">
        <v>9</v>
      </c>
      <c r="E668" t="s">
        <v>10</v>
      </c>
      <c r="F668" s="3">
        <v>602</v>
      </c>
      <c r="G668">
        <v>414104</v>
      </c>
      <c r="H668">
        <f t="shared" si="30"/>
        <v>2023</v>
      </c>
      <c r="I668" t="str">
        <f t="shared" si="31"/>
        <v>July</v>
      </c>
      <c r="J668" t="str">
        <f t="shared" si="32"/>
        <v>Q3</v>
      </c>
      <c r="K668" t="str">
        <f>TEXT(checking_account_main[[#This Row],[Date]],"mmm-yyyy")</f>
        <v>Jul-2023</v>
      </c>
      <c r="L668">
        <f>_xlfn.XLOOKUP(checking_account_main[[#This Row],[Month_Year]],checking_account_main[Month_Year],checking_account_main[Balance],"",0,-1)</f>
        <v>426330</v>
      </c>
    </row>
    <row r="669" spans="1:12" x14ac:dyDescent="0.3">
      <c r="A669" s="1">
        <v>45120</v>
      </c>
      <c r="B669" t="s">
        <v>685</v>
      </c>
      <c r="C669" t="s">
        <v>15</v>
      </c>
      <c r="D669" t="s">
        <v>16</v>
      </c>
      <c r="E669" t="s">
        <v>17</v>
      </c>
      <c r="F669" s="3">
        <v>258</v>
      </c>
      <c r="G669">
        <v>413846</v>
      </c>
      <c r="H669">
        <f t="shared" si="30"/>
        <v>2023</v>
      </c>
      <c r="I669" t="str">
        <f t="shared" si="31"/>
        <v>July</v>
      </c>
      <c r="J669" t="str">
        <f t="shared" si="32"/>
        <v>Q3</v>
      </c>
      <c r="K669" t="str">
        <f>TEXT(checking_account_main[[#This Row],[Date]],"mmm-yyyy")</f>
        <v>Jul-2023</v>
      </c>
      <c r="L669">
        <f>_xlfn.XLOOKUP(checking_account_main[[#This Row],[Month_Year]],checking_account_main[Month_Year],checking_account_main[Balance],"",0,-1)</f>
        <v>426330</v>
      </c>
    </row>
    <row r="670" spans="1:12" x14ac:dyDescent="0.3">
      <c r="A670" s="1">
        <v>45121</v>
      </c>
      <c r="B670" t="s">
        <v>686</v>
      </c>
      <c r="C670" t="s">
        <v>8</v>
      </c>
      <c r="D670" t="s">
        <v>9</v>
      </c>
      <c r="E670" t="s">
        <v>10</v>
      </c>
      <c r="F670" s="3">
        <v>607</v>
      </c>
      <c r="G670">
        <v>414453</v>
      </c>
      <c r="H670">
        <f t="shared" si="30"/>
        <v>2023</v>
      </c>
      <c r="I670" t="str">
        <f t="shared" si="31"/>
        <v>July</v>
      </c>
      <c r="J670" t="str">
        <f t="shared" si="32"/>
        <v>Q3</v>
      </c>
      <c r="K670" t="str">
        <f>TEXT(checking_account_main[[#This Row],[Date]],"mmm-yyyy")</f>
        <v>Jul-2023</v>
      </c>
      <c r="L670">
        <f>_xlfn.XLOOKUP(checking_account_main[[#This Row],[Month_Year]],checking_account_main[Month_Year],checking_account_main[Balance],"",0,-1)</f>
        <v>426330</v>
      </c>
    </row>
    <row r="671" spans="1:12" x14ac:dyDescent="0.3">
      <c r="A671" s="1">
        <v>45121</v>
      </c>
      <c r="B671" t="s">
        <v>687</v>
      </c>
      <c r="C671" t="s">
        <v>15</v>
      </c>
      <c r="D671" t="s">
        <v>16</v>
      </c>
      <c r="E671" t="s">
        <v>17</v>
      </c>
      <c r="F671" s="3">
        <v>197</v>
      </c>
      <c r="G671">
        <v>414256</v>
      </c>
      <c r="H671">
        <f t="shared" si="30"/>
        <v>2023</v>
      </c>
      <c r="I671" t="str">
        <f t="shared" si="31"/>
        <v>July</v>
      </c>
      <c r="J671" t="str">
        <f t="shared" si="32"/>
        <v>Q3</v>
      </c>
      <c r="K671" t="str">
        <f>TEXT(checking_account_main[[#This Row],[Date]],"mmm-yyyy")</f>
        <v>Jul-2023</v>
      </c>
      <c r="L671">
        <f>_xlfn.XLOOKUP(checking_account_main[[#This Row],[Month_Year]],checking_account_main[Month_Year],checking_account_main[Balance],"",0,-1)</f>
        <v>426330</v>
      </c>
    </row>
    <row r="672" spans="1:12" x14ac:dyDescent="0.3">
      <c r="A672" s="1">
        <v>45122</v>
      </c>
      <c r="B672" t="s">
        <v>688</v>
      </c>
      <c r="C672" t="s">
        <v>8</v>
      </c>
      <c r="D672" t="s">
        <v>9</v>
      </c>
      <c r="E672" t="s">
        <v>10</v>
      </c>
      <c r="F672" s="3">
        <v>792</v>
      </c>
      <c r="G672">
        <v>415048</v>
      </c>
      <c r="H672">
        <f t="shared" si="30"/>
        <v>2023</v>
      </c>
      <c r="I672" t="str">
        <f t="shared" si="31"/>
        <v>July</v>
      </c>
      <c r="J672" t="str">
        <f t="shared" si="32"/>
        <v>Q3</v>
      </c>
      <c r="K672" t="str">
        <f>TEXT(checking_account_main[[#This Row],[Date]],"mmm-yyyy")</f>
        <v>Jul-2023</v>
      </c>
      <c r="L672">
        <f>_xlfn.XLOOKUP(checking_account_main[[#This Row],[Month_Year]],checking_account_main[Month_Year],checking_account_main[Balance],"",0,-1)</f>
        <v>426330</v>
      </c>
    </row>
    <row r="673" spans="1:12" x14ac:dyDescent="0.3">
      <c r="A673" s="1">
        <v>45123</v>
      </c>
      <c r="B673" t="s">
        <v>689</v>
      </c>
      <c r="C673" t="s">
        <v>8</v>
      </c>
      <c r="D673" t="s">
        <v>9</v>
      </c>
      <c r="E673" t="s">
        <v>10</v>
      </c>
      <c r="F673" s="3">
        <v>973</v>
      </c>
      <c r="G673">
        <v>416021</v>
      </c>
      <c r="H673">
        <f t="shared" si="30"/>
        <v>2023</v>
      </c>
      <c r="I673" t="str">
        <f t="shared" si="31"/>
        <v>July</v>
      </c>
      <c r="J673" t="str">
        <f t="shared" si="32"/>
        <v>Q3</v>
      </c>
      <c r="K673" t="str">
        <f>TEXT(checking_account_main[[#This Row],[Date]],"mmm-yyyy")</f>
        <v>Jul-2023</v>
      </c>
      <c r="L673">
        <f>_xlfn.XLOOKUP(checking_account_main[[#This Row],[Month_Year]],checking_account_main[Month_Year],checking_account_main[Balance],"",0,-1)</f>
        <v>426330</v>
      </c>
    </row>
    <row r="674" spans="1:12" x14ac:dyDescent="0.3">
      <c r="A674" s="1">
        <v>45124</v>
      </c>
      <c r="B674" t="s">
        <v>690</v>
      </c>
      <c r="C674" t="s">
        <v>8</v>
      </c>
      <c r="D674" t="s">
        <v>9</v>
      </c>
      <c r="E674" t="s">
        <v>10</v>
      </c>
      <c r="F674" s="3">
        <v>863</v>
      </c>
      <c r="G674">
        <v>416884</v>
      </c>
      <c r="H674">
        <f t="shared" si="30"/>
        <v>2023</v>
      </c>
      <c r="I674" t="str">
        <f t="shared" si="31"/>
        <v>July</v>
      </c>
      <c r="J674" t="str">
        <f t="shared" si="32"/>
        <v>Q3</v>
      </c>
      <c r="K674" t="str">
        <f>TEXT(checking_account_main[[#This Row],[Date]],"mmm-yyyy")</f>
        <v>Jul-2023</v>
      </c>
      <c r="L674">
        <f>_xlfn.XLOOKUP(checking_account_main[[#This Row],[Month_Year]],checking_account_main[Month_Year],checking_account_main[Balance],"",0,-1)</f>
        <v>426330</v>
      </c>
    </row>
    <row r="675" spans="1:12" x14ac:dyDescent="0.3">
      <c r="A675" s="1">
        <v>45125</v>
      </c>
      <c r="B675" t="s">
        <v>691</v>
      </c>
      <c r="C675" t="s">
        <v>8</v>
      </c>
      <c r="D675" t="s">
        <v>9</v>
      </c>
      <c r="E675" t="s">
        <v>10</v>
      </c>
      <c r="F675" s="3">
        <v>875</v>
      </c>
      <c r="G675">
        <v>417759</v>
      </c>
      <c r="H675">
        <f t="shared" si="30"/>
        <v>2023</v>
      </c>
      <c r="I675" t="str">
        <f t="shared" si="31"/>
        <v>July</v>
      </c>
      <c r="J675" t="str">
        <f t="shared" si="32"/>
        <v>Q3</v>
      </c>
      <c r="K675" t="str">
        <f>TEXT(checking_account_main[[#This Row],[Date]],"mmm-yyyy")</f>
        <v>Jul-2023</v>
      </c>
      <c r="L675">
        <f>_xlfn.XLOOKUP(checking_account_main[[#This Row],[Month_Year]],checking_account_main[Month_Year],checking_account_main[Balance],"",0,-1)</f>
        <v>426330</v>
      </c>
    </row>
    <row r="676" spans="1:12" x14ac:dyDescent="0.3">
      <c r="A676" s="1">
        <v>45126</v>
      </c>
      <c r="B676" t="s">
        <v>692</v>
      </c>
      <c r="C676" t="s">
        <v>8</v>
      </c>
      <c r="D676" t="s">
        <v>9</v>
      </c>
      <c r="E676" t="s">
        <v>10</v>
      </c>
      <c r="F676" s="3">
        <v>848</v>
      </c>
      <c r="G676">
        <v>418607</v>
      </c>
      <c r="H676">
        <f t="shared" si="30"/>
        <v>2023</v>
      </c>
      <c r="I676" t="str">
        <f t="shared" si="31"/>
        <v>July</v>
      </c>
      <c r="J676" t="str">
        <f t="shared" si="32"/>
        <v>Q3</v>
      </c>
      <c r="K676" t="str">
        <f>TEXT(checking_account_main[[#This Row],[Date]],"mmm-yyyy")</f>
        <v>Jul-2023</v>
      </c>
      <c r="L676">
        <f>_xlfn.XLOOKUP(checking_account_main[[#This Row],[Month_Year]],checking_account_main[Month_Year],checking_account_main[Balance],"",0,-1)</f>
        <v>426330</v>
      </c>
    </row>
    <row r="677" spans="1:12" x14ac:dyDescent="0.3">
      <c r="A677" s="1">
        <v>45127</v>
      </c>
      <c r="B677" t="s">
        <v>693</v>
      </c>
      <c r="C677" t="s">
        <v>8</v>
      </c>
      <c r="D677" t="s">
        <v>9</v>
      </c>
      <c r="E677" t="s">
        <v>10</v>
      </c>
      <c r="F677" s="3">
        <v>896</v>
      </c>
      <c r="G677">
        <v>419503</v>
      </c>
      <c r="H677">
        <f t="shared" si="30"/>
        <v>2023</v>
      </c>
      <c r="I677" t="str">
        <f t="shared" si="31"/>
        <v>July</v>
      </c>
      <c r="J677" t="str">
        <f t="shared" si="32"/>
        <v>Q3</v>
      </c>
      <c r="K677" t="str">
        <f>TEXT(checking_account_main[[#This Row],[Date]],"mmm-yyyy")</f>
        <v>Jul-2023</v>
      </c>
      <c r="L677">
        <f>_xlfn.XLOOKUP(checking_account_main[[#This Row],[Month_Year]],checking_account_main[Month_Year],checking_account_main[Balance],"",0,-1)</f>
        <v>426330</v>
      </c>
    </row>
    <row r="678" spans="1:12" x14ac:dyDescent="0.3">
      <c r="A678" s="1">
        <v>45128</v>
      </c>
      <c r="B678" t="s">
        <v>694</v>
      </c>
      <c r="C678" t="s">
        <v>8</v>
      </c>
      <c r="D678" t="s">
        <v>9</v>
      </c>
      <c r="E678" t="s">
        <v>10</v>
      </c>
      <c r="F678" s="3">
        <v>515</v>
      </c>
      <c r="G678">
        <v>420018</v>
      </c>
      <c r="H678">
        <f t="shared" si="30"/>
        <v>2023</v>
      </c>
      <c r="I678" t="str">
        <f t="shared" si="31"/>
        <v>July</v>
      </c>
      <c r="J678" t="str">
        <f t="shared" si="32"/>
        <v>Q3</v>
      </c>
      <c r="K678" t="str">
        <f>TEXT(checking_account_main[[#This Row],[Date]],"mmm-yyyy")</f>
        <v>Jul-2023</v>
      </c>
      <c r="L678">
        <f>_xlfn.XLOOKUP(checking_account_main[[#This Row],[Month_Year]],checking_account_main[Month_Year],checking_account_main[Balance],"",0,-1)</f>
        <v>426330</v>
      </c>
    </row>
    <row r="679" spans="1:12" x14ac:dyDescent="0.3">
      <c r="A679" s="1">
        <v>45129</v>
      </c>
      <c r="B679" t="s">
        <v>695</v>
      </c>
      <c r="C679" t="s">
        <v>8</v>
      </c>
      <c r="D679" t="s">
        <v>9</v>
      </c>
      <c r="E679" t="s">
        <v>10</v>
      </c>
      <c r="F679" s="3">
        <v>607</v>
      </c>
      <c r="G679">
        <v>420625</v>
      </c>
      <c r="H679">
        <f t="shared" si="30"/>
        <v>2023</v>
      </c>
      <c r="I679" t="str">
        <f t="shared" si="31"/>
        <v>July</v>
      </c>
      <c r="J679" t="str">
        <f t="shared" si="32"/>
        <v>Q3</v>
      </c>
      <c r="K679" t="str">
        <f>TEXT(checking_account_main[[#This Row],[Date]],"mmm-yyyy")</f>
        <v>Jul-2023</v>
      </c>
      <c r="L679">
        <f>_xlfn.XLOOKUP(checking_account_main[[#This Row],[Month_Year]],checking_account_main[Month_Year],checking_account_main[Balance],"",0,-1)</f>
        <v>426330</v>
      </c>
    </row>
    <row r="680" spans="1:12" x14ac:dyDescent="0.3">
      <c r="A680" s="1">
        <v>45130</v>
      </c>
      <c r="B680" t="s">
        <v>696</v>
      </c>
      <c r="C680" t="s">
        <v>8</v>
      </c>
      <c r="D680" t="s">
        <v>9</v>
      </c>
      <c r="E680" t="s">
        <v>10</v>
      </c>
      <c r="F680" s="3">
        <v>810</v>
      </c>
      <c r="G680">
        <v>421435</v>
      </c>
      <c r="H680">
        <f t="shared" si="30"/>
        <v>2023</v>
      </c>
      <c r="I680" t="str">
        <f t="shared" si="31"/>
        <v>July</v>
      </c>
      <c r="J680" t="str">
        <f t="shared" si="32"/>
        <v>Q3</v>
      </c>
      <c r="K680" t="str">
        <f>TEXT(checking_account_main[[#This Row],[Date]],"mmm-yyyy")</f>
        <v>Jul-2023</v>
      </c>
      <c r="L680">
        <f>_xlfn.XLOOKUP(checking_account_main[[#This Row],[Month_Year]],checking_account_main[Month_Year],checking_account_main[Balance],"",0,-1)</f>
        <v>426330</v>
      </c>
    </row>
    <row r="681" spans="1:12" x14ac:dyDescent="0.3">
      <c r="A681" s="1">
        <v>45131</v>
      </c>
      <c r="B681" t="s">
        <v>697</v>
      </c>
      <c r="C681" t="s">
        <v>8</v>
      </c>
      <c r="D681" t="s">
        <v>9</v>
      </c>
      <c r="E681" t="s">
        <v>10</v>
      </c>
      <c r="F681" s="3">
        <v>533</v>
      </c>
      <c r="G681">
        <v>421968</v>
      </c>
      <c r="H681">
        <f t="shared" si="30"/>
        <v>2023</v>
      </c>
      <c r="I681" t="str">
        <f t="shared" si="31"/>
        <v>July</v>
      </c>
      <c r="J681" t="str">
        <f t="shared" si="32"/>
        <v>Q3</v>
      </c>
      <c r="K681" t="str">
        <f>TEXT(checking_account_main[[#This Row],[Date]],"mmm-yyyy")</f>
        <v>Jul-2023</v>
      </c>
      <c r="L681">
        <f>_xlfn.XLOOKUP(checking_account_main[[#This Row],[Month_Year]],checking_account_main[Month_Year],checking_account_main[Balance],"",0,-1)</f>
        <v>426330</v>
      </c>
    </row>
    <row r="682" spans="1:12" x14ac:dyDescent="0.3">
      <c r="A682" s="1">
        <v>45131</v>
      </c>
      <c r="B682" t="s">
        <v>698</v>
      </c>
      <c r="C682" t="s">
        <v>74</v>
      </c>
      <c r="D682" t="s">
        <v>16</v>
      </c>
      <c r="E682" t="s">
        <v>17</v>
      </c>
      <c r="F682" s="3">
        <v>346</v>
      </c>
      <c r="G682">
        <v>421622</v>
      </c>
      <c r="H682">
        <f t="shared" si="30"/>
        <v>2023</v>
      </c>
      <c r="I682" t="str">
        <f t="shared" si="31"/>
        <v>July</v>
      </c>
      <c r="J682" t="str">
        <f t="shared" si="32"/>
        <v>Q3</v>
      </c>
      <c r="K682" t="str">
        <f>TEXT(checking_account_main[[#This Row],[Date]],"mmm-yyyy")</f>
        <v>Jul-2023</v>
      </c>
      <c r="L682">
        <f>_xlfn.XLOOKUP(checking_account_main[[#This Row],[Month_Year]],checking_account_main[Month_Year],checking_account_main[Balance],"",0,-1)</f>
        <v>426330</v>
      </c>
    </row>
    <row r="683" spans="1:12" x14ac:dyDescent="0.3">
      <c r="A683" s="1">
        <v>45132</v>
      </c>
      <c r="B683" t="s">
        <v>699</v>
      </c>
      <c r="C683" t="s">
        <v>8</v>
      </c>
      <c r="D683" t="s">
        <v>9</v>
      </c>
      <c r="E683" t="s">
        <v>10</v>
      </c>
      <c r="F683" s="3">
        <v>640</v>
      </c>
      <c r="G683">
        <v>422262</v>
      </c>
      <c r="H683">
        <f t="shared" si="30"/>
        <v>2023</v>
      </c>
      <c r="I683" t="str">
        <f t="shared" si="31"/>
        <v>July</v>
      </c>
      <c r="J683" t="str">
        <f t="shared" si="32"/>
        <v>Q3</v>
      </c>
      <c r="K683" t="str">
        <f>TEXT(checking_account_main[[#This Row],[Date]],"mmm-yyyy")</f>
        <v>Jul-2023</v>
      </c>
      <c r="L683">
        <f>_xlfn.XLOOKUP(checking_account_main[[#This Row],[Month_Year]],checking_account_main[Month_Year],checking_account_main[Balance],"",0,-1)</f>
        <v>426330</v>
      </c>
    </row>
    <row r="684" spans="1:12" x14ac:dyDescent="0.3">
      <c r="A684" s="1">
        <v>45133</v>
      </c>
      <c r="B684" t="s">
        <v>700</v>
      </c>
      <c r="C684" t="s">
        <v>8</v>
      </c>
      <c r="D684" t="s">
        <v>9</v>
      </c>
      <c r="E684" t="s">
        <v>10</v>
      </c>
      <c r="F684" s="3">
        <v>595</v>
      </c>
      <c r="G684">
        <v>422857</v>
      </c>
      <c r="H684">
        <f t="shared" si="30"/>
        <v>2023</v>
      </c>
      <c r="I684" t="str">
        <f t="shared" si="31"/>
        <v>July</v>
      </c>
      <c r="J684" t="str">
        <f t="shared" si="32"/>
        <v>Q3</v>
      </c>
      <c r="K684" t="str">
        <f>TEXT(checking_account_main[[#This Row],[Date]],"mmm-yyyy")</f>
        <v>Jul-2023</v>
      </c>
      <c r="L684">
        <f>_xlfn.XLOOKUP(checking_account_main[[#This Row],[Month_Year]],checking_account_main[Month_Year],checking_account_main[Balance],"",0,-1)</f>
        <v>426330</v>
      </c>
    </row>
    <row r="685" spans="1:12" x14ac:dyDescent="0.3">
      <c r="A685" s="1">
        <v>45134</v>
      </c>
      <c r="B685" t="s">
        <v>701</v>
      </c>
      <c r="C685" t="s">
        <v>8</v>
      </c>
      <c r="D685" t="s">
        <v>9</v>
      </c>
      <c r="E685" t="s">
        <v>10</v>
      </c>
      <c r="F685" s="3">
        <v>538</v>
      </c>
      <c r="G685">
        <v>423395</v>
      </c>
      <c r="H685">
        <f t="shared" si="30"/>
        <v>2023</v>
      </c>
      <c r="I685" t="str">
        <f t="shared" si="31"/>
        <v>July</v>
      </c>
      <c r="J685" t="str">
        <f t="shared" si="32"/>
        <v>Q3</v>
      </c>
      <c r="K685" t="str">
        <f>TEXT(checking_account_main[[#This Row],[Date]],"mmm-yyyy")</f>
        <v>Jul-2023</v>
      </c>
      <c r="L685">
        <f>_xlfn.XLOOKUP(checking_account_main[[#This Row],[Month_Year]],checking_account_main[Month_Year],checking_account_main[Balance],"",0,-1)</f>
        <v>426330</v>
      </c>
    </row>
    <row r="686" spans="1:12" x14ac:dyDescent="0.3">
      <c r="A686" s="1">
        <v>45134</v>
      </c>
      <c r="B686" t="s">
        <v>702</v>
      </c>
      <c r="C686" t="s">
        <v>28</v>
      </c>
      <c r="D686" t="s">
        <v>29</v>
      </c>
      <c r="E686" t="s">
        <v>17</v>
      </c>
      <c r="F686" s="3">
        <v>128</v>
      </c>
      <c r="G686">
        <v>423267</v>
      </c>
      <c r="H686">
        <f t="shared" si="30"/>
        <v>2023</v>
      </c>
      <c r="I686" t="str">
        <f t="shared" si="31"/>
        <v>July</v>
      </c>
      <c r="J686" t="str">
        <f t="shared" si="32"/>
        <v>Q3</v>
      </c>
      <c r="K686" t="str">
        <f>TEXT(checking_account_main[[#This Row],[Date]],"mmm-yyyy")</f>
        <v>Jul-2023</v>
      </c>
      <c r="L686">
        <f>_xlfn.XLOOKUP(checking_account_main[[#This Row],[Month_Year]],checking_account_main[Month_Year],checking_account_main[Balance],"",0,-1)</f>
        <v>426330</v>
      </c>
    </row>
    <row r="687" spans="1:12" x14ac:dyDescent="0.3">
      <c r="A687" s="1">
        <v>45135</v>
      </c>
      <c r="B687" t="s">
        <v>703</v>
      </c>
      <c r="C687" t="s">
        <v>8</v>
      </c>
      <c r="D687" t="s">
        <v>9</v>
      </c>
      <c r="E687" t="s">
        <v>10</v>
      </c>
      <c r="F687" s="3">
        <v>976</v>
      </c>
      <c r="G687">
        <v>424243</v>
      </c>
      <c r="H687">
        <f t="shared" si="30"/>
        <v>2023</v>
      </c>
      <c r="I687" t="str">
        <f t="shared" si="31"/>
        <v>July</v>
      </c>
      <c r="J687" t="str">
        <f t="shared" si="32"/>
        <v>Q3</v>
      </c>
      <c r="K687" t="str">
        <f>TEXT(checking_account_main[[#This Row],[Date]],"mmm-yyyy")</f>
        <v>Jul-2023</v>
      </c>
      <c r="L687">
        <f>_xlfn.XLOOKUP(checking_account_main[[#This Row],[Month_Year]],checking_account_main[Month_Year],checking_account_main[Balance],"",0,-1)</f>
        <v>426330</v>
      </c>
    </row>
    <row r="688" spans="1:12" x14ac:dyDescent="0.3">
      <c r="A688" s="1">
        <v>45135</v>
      </c>
      <c r="B688" t="s">
        <v>704</v>
      </c>
      <c r="C688" t="s">
        <v>28</v>
      </c>
      <c r="D688" t="s">
        <v>29</v>
      </c>
      <c r="E688" t="s">
        <v>17</v>
      </c>
      <c r="F688" s="3">
        <v>335</v>
      </c>
      <c r="G688">
        <v>423908</v>
      </c>
      <c r="H688">
        <f t="shared" si="30"/>
        <v>2023</v>
      </c>
      <c r="I688" t="str">
        <f t="shared" si="31"/>
        <v>July</v>
      </c>
      <c r="J688" t="str">
        <f t="shared" si="32"/>
        <v>Q3</v>
      </c>
      <c r="K688" t="str">
        <f>TEXT(checking_account_main[[#This Row],[Date]],"mmm-yyyy")</f>
        <v>Jul-2023</v>
      </c>
      <c r="L688">
        <f>_xlfn.XLOOKUP(checking_account_main[[#This Row],[Month_Year]],checking_account_main[Month_Year],checking_account_main[Balance],"",0,-1)</f>
        <v>426330</v>
      </c>
    </row>
    <row r="689" spans="1:12" x14ac:dyDescent="0.3">
      <c r="A689" s="1">
        <v>45136</v>
      </c>
      <c r="B689" t="s">
        <v>705</v>
      </c>
      <c r="C689" t="s">
        <v>8</v>
      </c>
      <c r="D689" t="s">
        <v>9</v>
      </c>
      <c r="E689" t="s">
        <v>10</v>
      </c>
      <c r="F689" s="3">
        <v>771</v>
      </c>
      <c r="G689">
        <v>424679</v>
      </c>
      <c r="H689">
        <f t="shared" si="30"/>
        <v>2023</v>
      </c>
      <c r="I689" t="str">
        <f t="shared" si="31"/>
        <v>July</v>
      </c>
      <c r="J689" t="str">
        <f t="shared" si="32"/>
        <v>Q3</v>
      </c>
      <c r="K689" t="str">
        <f>TEXT(checking_account_main[[#This Row],[Date]],"mmm-yyyy")</f>
        <v>Jul-2023</v>
      </c>
      <c r="L689">
        <f>_xlfn.XLOOKUP(checking_account_main[[#This Row],[Month_Year]],checking_account_main[Month_Year],checking_account_main[Balance],"",0,-1)</f>
        <v>426330</v>
      </c>
    </row>
    <row r="690" spans="1:12" x14ac:dyDescent="0.3">
      <c r="A690" s="1">
        <v>45137</v>
      </c>
      <c r="B690" t="s">
        <v>706</v>
      </c>
      <c r="C690" t="s">
        <v>8</v>
      </c>
      <c r="D690" t="s">
        <v>9</v>
      </c>
      <c r="E690" t="s">
        <v>10</v>
      </c>
      <c r="F690" s="3">
        <v>738</v>
      </c>
      <c r="G690">
        <v>425417</v>
      </c>
      <c r="H690">
        <f t="shared" si="30"/>
        <v>2023</v>
      </c>
      <c r="I690" t="str">
        <f t="shared" si="31"/>
        <v>July</v>
      </c>
      <c r="J690" t="str">
        <f t="shared" si="32"/>
        <v>Q3</v>
      </c>
      <c r="K690" t="str">
        <f>TEXT(checking_account_main[[#This Row],[Date]],"mmm-yyyy")</f>
        <v>Jul-2023</v>
      </c>
      <c r="L690">
        <f>_xlfn.XLOOKUP(checking_account_main[[#This Row],[Month_Year]],checking_account_main[Month_Year],checking_account_main[Balance],"",0,-1)</f>
        <v>426330</v>
      </c>
    </row>
    <row r="691" spans="1:12" x14ac:dyDescent="0.3">
      <c r="A691" s="1">
        <v>45138</v>
      </c>
      <c r="B691" t="s">
        <v>707</v>
      </c>
      <c r="C691" t="s">
        <v>8</v>
      </c>
      <c r="D691" t="s">
        <v>9</v>
      </c>
      <c r="E691" t="s">
        <v>10</v>
      </c>
      <c r="F691" s="3">
        <v>913</v>
      </c>
      <c r="G691">
        <v>426330</v>
      </c>
      <c r="H691">
        <f t="shared" si="30"/>
        <v>2023</v>
      </c>
      <c r="I691" t="str">
        <f t="shared" si="31"/>
        <v>July</v>
      </c>
      <c r="J691" t="str">
        <f t="shared" si="32"/>
        <v>Q3</v>
      </c>
      <c r="K691" t="str">
        <f>TEXT(checking_account_main[[#This Row],[Date]],"mmm-yyyy")</f>
        <v>Jul-2023</v>
      </c>
      <c r="L691">
        <f>_xlfn.XLOOKUP(checking_account_main[[#This Row],[Month_Year]],checking_account_main[Month_Year],checking_account_main[Balance],"",0,-1)</f>
        <v>426330</v>
      </c>
    </row>
    <row r="692" spans="1:12" x14ac:dyDescent="0.3">
      <c r="A692" s="1">
        <v>45139</v>
      </c>
      <c r="B692" t="s">
        <v>708</v>
      </c>
      <c r="C692" t="s">
        <v>8</v>
      </c>
      <c r="D692" t="s">
        <v>9</v>
      </c>
      <c r="E692" t="s">
        <v>10</v>
      </c>
      <c r="F692" s="3">
        <v>858</v>
      </c>
      <c r="G692">
        <v>427188</v>
      </c>
      <c r="H692">
        <f t="shared" si="30"/>
        <v>2023</v>
      </c>
      <c r="I692" t="str">
        <f t="shared" si="31"/>
        <v>August</v>
      </c>
      <c r="J692" t="str">
        <f t="shared" si="32"/>
        <v>Q3</v>
      </c>
      <c r="K692" t="str">
        <f>TEXT(checking_account_main[[#This Row],[Date]],"mmm-yyyy")</f>
        <v>Aug-2023</v>
      </c>
      <c r="L692">
        <f>_xlfn.XLOOKUP(checking_account_main[[#This Row],[Month_Year]],checking_account_main[Month_Year],checking_account_main[Balance],"",0,-1)</f>
        <v>448707</v>
      </c>
    </row>
    <row r="693" spans="1:12" x14ac:dyDescent="0.3">
      <c r="A693" s="1">
        <v>45140</v>
      </c>
      <c r="B693" t="s">
        <v>709</v>
      </c>
      <c r="C693" t="s">
        <v>8</v>
      </c>
      <c r="D693" t="s">
        <v>9</v>
      </c>
      <c r="E693" t="s">
        <v>10</v>
      </c>
      <c r="F693" s="3">
        <v>564</v>
      </c>
      <c r="G693">
        <v>427752</v>
      </c>
      <c r="H693">
        <f t="shared" si="30"/>
        <v>2023</v>
      </c>
      <c r="I693" t="str">
        <f t="shared" si="31"/>
        <v>August</v>
      </c>
      <c r="J693" t="str">
        <f t="shared" si="32"/>
        <v>Q3</v>
      </c>
      <c r="K693" t="str">
        <f>TEXT(checking_account_main[[#This Row],[Date]],"mmm-yyyy")</f>
        <v>Aug-2023</v>
      </c>
      <c r="L693">
        <f>_xlfn.XLOOKUP(checking_account_main[[#This Row],[Month_Year]],checking_account_main[Month_Year],checking_account_main[Balance],"",0,-1)</f>
        <v>448707</v>
      </c>
    </row>
    <row r="694" spans="1:12" x14ac:dyDescent="0.3">
      <c r="A694" s="1">
        <v>45141</v>
      </c>
      <c r="B694" t="s">
        <v>710</v>
      </c>
      <c r="C694" t="s">
        <v>8</v>
      </c>
      <c r="D694" t="s">
        <v>9</v>
      </c>
      <c r="E694" t="s">
        <v>10</v>
      </c>
      <c r="F694" s="3">
        <v>502</v>
      </c>
      <c r="G694">
        <v>428254</v>
      </c>
      <c r="H694">
        <f t="shared" si="30"/>
        <v>2023</v>
      </c>
      <c r="I694" t="str">
        <f t="shared" si="31"/>
        <v>August</v>
      </c>
      <c r="J694" t="str">
        <f t="shared" si="32"/>
        <v>Q3</v>
      </c>
      <c r="K694" t="str">
        <f>TEXT(checking_account_main[[#This Row],[Date]],"mmm-yyyy")</f>
        <v>Aug-2023</v>
      </c>
      <c r="L694">
        <f>_xlfn.XLOOKUP(checking_account_main[[#This Row],[Month_Year]],checking_account_main[Month_Year],checking_account_main[Balance],"",0,-1)</f>
        <v>448707</v>
      </c>
    </row>
    <row r="695" spans="1:12" x14ac:dyDescent="0.3">
      <c r="A695" s="1">
        <v>45142</v>
      </c>
      <c r="B695" t="s">
        <v>711</v>
      </c>
      <c r="C695" t="s">
        <v>8</v>
      </c>
      <c r="D695" t="s">
        <v>9</v>
      </c>
      <c r="E695" t="s">
        <v>10</v>
      </c>
      <c r="F695" s="3">
        <v>875</v>
      </c>
      <c r="G695">
        <v>429129</v>
      </c>
      <c r="H695">
        <f t="shared" si="30"/>
        <v>2023</v>
      </c>
      <c r="I695" t="str">
        <f t="shared" si="31"/>
        <v>August</v>
      </c>
      <c r="J695" t="str">
        <f t="shared" si="32"/>
        <v>Q3</v>
      </c>
      <c r="K695" t="str">
        <f>TEXT(checking_account_main[[#This Row],[Date]],"mmm-yyyy")</f>
        <v>Aug-2023</v>
      </c>
      <c r="L695">
        <f>_xlfn.XLOOKUP(checking_account_main[[#This Row],[Month_Year]],checking_account_main[Month_Year],checking_account_main[Balance],"",0,-1)</f>
        <v>448707</v>
      </c>
    </row>
    <row r="696" spans="1:12" x14ac:dyDescent="0.3">
      <c r="A696" s="1">
        <v>45143</v>
      </c>
      <c r="B696" t="s">
        <v>712</v>
      </c>
      <c r="C696" t="s">
        <v>8</v>
      </c>
      <c r="D696" t="s">
        <v>9</v>
      </c>
      <c r="E696" t="s">
        <v>10</v>
      </c>
      <c r="F696" s="3">
        <v>823</v>
      </c>
      <c r="G696">
        <v>429952</v>
      </c>
      <c r="H696">
        <f t="shared" si="30"/>
        <v>2023</v>
      </c>
      <c r="I696" t="str">
        <f t="shared" si="31"/>
        <v>August</v>
      </c>
      <c r="J696" t="str">
        <f t="shared" si="32"/>
        <v>Q3</v>
      </c>
      <c r="K696" t="str">
        <f>TEXT(checking_account_main[[#This Row],[Date]],"mmm-yyyy")</f>
        <v>Aug-2023</v>
      </c>
      <c r="L696">
        <f>_xlfn.XLOOKUP(checking_account_main[[#This Row],[Month_Year]],checking_account_main[Month_Year],checking_account_main[Balance],"",0,-1)</f>
        <v>448707</v>
      </c>
    </row>
    <row r="697" spans="1:12" x14ac:dyDescent="0.3">
      <c r="A697" s="1">
        <v>45144</v>
      </c>
      <c r="B697" t="s">
        <v>713</v>
      </c>
      <c r="C697" t="s">
        <v>8</v>
      </c>
      <c r="D697" t="s">
        <v>9</v>
      </c>
      <c r="E697" t="s">
        <v>10</v>
      </c>
      <c r="F697" s="3">
        <v>792</v>
      </c>
      <c r="G697">
        <v>430744</v>
      </c>
      <c r="H697">
        <f t="shared" si="30"/>
        <v>2023</v>
      </c>
      <c r="I697" t="str">
        <f t="shared" si="31"/>
        <v>August</v>
      </c>
      <c r="J697" t="str">
        <f t="shared" si="32"/>
        <v>Q3</v>
      </c>
      <c r="K697" t="str">
        <f>TEXT(checking_account_main[[#This Row],[Date]],"mmm-yyyy")</f>
        <v>Aug-2023</v>
      </c>
      <c r="L697">
        <f>_xlfn.XLOOKUP(checking_account_main[[#This Row],[Month_Year]],checking_account_main[Month_Year],checking_account_main[Balance],"",0,-1)</f>
        <v>448707</v>
      </c>
    </row>
    <row r="698" spans="1:12" x14ac:dyDescent="0.3">
      <c r="A698" s="1">
        <v>45144</v>
      </c>
      <c r="B698" t="s">
        <v>714</v>
      </c>
      <c r="C698" t="s">
        <v>74</v>
      </c>
      <c r="D698" t="s">
        <v>16</v>
      </c>
      <c r="E698" t="s">
        <v>17</v>
      </c>
      <c r="F698" s="3">
        <v>292</v>
      </c>
      <c r="G698">
        <v>430452</v>
      </c>
      <c r="H698">
        <f t="shared" si="30"/>
        <v>2023</v>
      </c>
      <c r="I698" t="str">
        <f t="shared" si="31"/>
        <v>August</v>
      </c>
      <c r="J698" t="str">
        <f t="shared" si="32"/>
        <v>Q3</v>
      </c>
      <c r="K698" t="str">
        <f>TEXT(checking_account_main[[#This Row],[Date]],"mmm-yyyy")</f>
        <v>Aug-2023</v>
      </c>
      <c r="L698">
        <f>_xlfn.XLOOKUP(checking_account_main[[#This Row],[Month_Year]],checking_account_main[Month_Year],checking_account_main[Balance],"",0,-1)</f>
        <v>448707</v>
      </c>
    </row>
    <row r="699" spans="1:12" x14ac:dyDescent="0.3">
      <c r="A699" s="1">
        <v>45145</v>
      </c>
      <c r="B699" t="s">
        <v>715</v>
      </c>
      <c r="C699" t="s">
        <v>8</v>
      </c>
      <c r="D699" t="s">
        <v>9</v>
      </c>
      <c r="E699" t="s">
        <v>10</v>
      </c>
      <c r="F699" s="3">
        <v>993</v>
      </c>
      <c r="G699">
        <v>431445</v>
      </c>
      <c r="H699">
        <f t="shared" si="30"/>
        <v>2023</v>
      </c>
      <c r="I699" t="str">
        <f t="shared" si="31"/>
        <v>August</v>
      </c>
      <c r="J699" t="str">
        <f t="shared" si="32"/>
        <v>Q3</v>
      </c>
      <c r="K699" t="str">
        <f>TEXT(checking_account_main[[#This Row],[Date]],"mmm-yyyy")</f>
        <v>Aug-2023</v>
      </c>
      <c r="L699">
        <f>_xlfn.XLOOKUP(checking_account_main[[#This Row],[Month_Year]],checking_account_main[Month_Year],checking_account_main[Balance],"",0,-1)</f>
        <v>448707</v>
      </c>
    </row>
    <row r="700" spans="1:12" x14ac:dyDescent="0.3">
      <c r="A700" s="1">
        <v>45145</v>
      </c>
      <c r="B700" t="s">
        <v>716</v>
      </c>
      <c r="C700" t="s">
        <v>28</v>
      </c>
      <c r="D700" t="s">
        <v>29</v>
      </c>
      <c r="E700" t="s">
        <v>17</v>
      </c>
      <c r="F700" s="3">
        <v>498</v>
      </c>
      <c r="G700">
        <v>430947</v>
      </c>
      <c r="H700">
        <f t="shared" si="30"/>
        <v>2023</v>
      </c>
      <c r="I700" t="str">
        <f t="shared" si="31"/>
        <v>August</v>
      </c>
      <c r="J700" t="str">
        <f t="shared" si="32"/>
        <v>Q3</v>
      </c>
      <c r="K700" t="str">
        <f>TEXT(checking_account_main[[#This Row],[Date]],"mmm-yyyy")</f>
        <v>Aug-2023</v>
      </c>
      <c r="L700">
        <f>_xlfn.XLOOKUP(checking_account_main[[#This Row],[Month_Year]],checking_account_main[Month_Year],checking_account_main[Balance],"",0,-1)</f>
        <v>448707</v>
      </c>
    </row>
    <row r="701" spans="1:12" x14ac:dyDescent="0.3">
      <c r="A701" s="1">
        <v>45146</v>
      </c>
      <c r="B701" t="s">
        <v>717</v>
      </c>
      <c r="C701" t="s">
        <v>8</v>
      </c>
      <c r="D701" t="s">
        <v>9</v>
      </c>
      <c r="E701" t="s">
        <v>10</v>
      </c>
      <c r="F701" s="3">
        <v>876</v>
      </c>
      <c r="G701">
        <v>431823</v>
      </c>
      <c r="H701">
        <f t="shared" si="30"/>
        <v>2023</v>
      </c>
      <c r="I701" t="str">
        <f t="shared" si="31"/>
        <v>August</v>
      </c>
      <c r="J701" t="str">
        <f t="shared" si="32"/>
        <v>Q3</v>
      </c>
      <c r="K701" t="str">
        <f>TEXT(checking_account_main[[#This Row],[Date]],"mmm-yyyy")</f>
        <v>Aug-2023</v>
      </c>
      <c r="L701">
        <f>_xlfn.XLOOKUP(checking_account_main[[#This Row],[Month_Year]],checking_account_main[Month_Year],checking_account_main[Balance],"",0,-1)</f>
        <v>448707</v>
      </c>
    </row>
    <row r="702" spans="1:12" x14ac:dyDescent="0.3">
      <c r="A702" s="1">
        <v>45147</v>
      </c>
      <c r="B702" t="s">
        <v>718</v>
      </c>
      <c r="C702" t="s">
        <v>8</v>
      </c>
      <c r="D702" t="s">
        <v>9</v>
      </c>
      <c r="E702" t="s">
        <v>10</v>
      </c>
      <c r="F702" s="3">
        <v>639</v>
      </c>
      <c r="G702">
        <v>432462</v>
      </c>
      <c r="H702">
        <f t="shared" si="30"/>
        <v>2023</v>
      </c>
      <c r="I702" t="str">
        <f t="shared" si="31"/>
        <v>August</v>
      </c>
      <c r="J702" t="str">
        <f t="shared" si="32"/>
        <v>Q3</v>
      </c>
      <c r="K702" t="str">
        <f>TEXT(checking_account_main[[#This Row],[Date]],"mmm-yyyy")</f>
        <v>Aug-2023</v>
      </c>
      <c r="L702">
        <f>_xlfn.XLOOKUP(checking_account_main[[#This Row],[Month_Year]],checking_account_main[Month_Year],checking_account_main[Balance],"",0,-1)</f>
        <v>448707</v>
      </c>
    </row>
    <row r="703" spans="1:12" x14ac:dyDescent="0.3">
      <c r="A703" s="1">
        <v>45148</v>
      </c>
      <c r="B703" t="s">
        <v>719</v>
      </c>
      <c r="C703" t="s">
        <v>8</v>
      </c>
      <c r="D703" t="s">
        <v>9</v>
      </c>
      <c r="E703" t="s">
        <v>10</v>
      </c>
      <c r="F703" s="3">
        <v>792</v>
      </c>
      <c r="G703">
        <v>433254</v>
      </c>
      <c r="H703">
        <f t="shared" si="30"/>
        <v>2023</v>
      </c>
      <c r="I703" t="str">
        <f t="shared" si="31"/>
        <v>August</v>
      </c>
      <c r="J703" t="str">
        <f t="shared" si="32"/>
        <v>Q3</v>
      </c>
      <c r="K703" t="str">
        <f>TEXT(checking_account_main[[#This Row],[Date]],"mmm-yyyy")</f>
        <v>Aug-2023</v>
      </c>
      <c r="L703">
        <f>_xlfn.XLOOKUP(checking_account_main[[#This Row],[Month_Year]],checking_account_main[Month_Year],checking_account_main[Balance],"",0,-1)</f>
        <v>448707</v>
      </c>
    </row>
    <row r="704" spans="1:12" x14ac:dyDescent="0.3">
      <c r="A704" s="1">
        <v>45149</v>
      </c>
      <c r="B704" t="s">
        <v>720</v>
      </c>
      <c r="C704" t="s">
        <v>8</v>
      </c>
      <c r="D704" t="s">
        <v>9</v>
      </c>
      <c r="E704" t="s">
        <v>10</v>
      </c>
      <c r="F704" s="3">
        <v>926</v>
      </c>
      <c r="G704">
        <v>434180</v>
      </c>
      <c r="H704">
        <f t="shared" si="30"/>
        <v>2023</v>
      </c>
      <c r="I704" t="str">
        <f t="shared" si="31"/>
        <v>August</v>
      </c>
      <c r="J704" t="str">
        <f t="shared" si="32"/>
        <v>Q3</v>
      </c>
      <c r="K704" t="str">
        <f>TEXT(checking_account_main[[#This Row],[Date]],"mmm-yyyy")</f>
        <v>Aug-2023</v>
      </c>
      <c r="L704">
        <f>_xlfn.XLOOKUP(checking_account_main[[#This Row],[Month_Year]],checking_account_main[Month_Year],checking_account_main[Balance],"",0,-1)</f>
        <v>448707</v>
      </c>
    </row>
    <row r="705" spans="1:12" x14ac:dyDescent="0.3">
      <c r="A705" s="1">
        <v>45150</v>
      </c>
      <c r="B705" t="s">
        <v>721</v>
      </c>
      <c r="C705" t="s">
        <v>8</v>
      </c>
      <c r="D705" t="s">
        <v>9</v>
      </c>
      <c r="E705" t="s">
        <v>10</v>
      </c>
      <c r="F705" s="3">
        <v>794</v>
      </c>
      <c r="G705">
        <v>434974</v>
      </c>
      <c r="H705">
        <f t="shared" si="30"/>
        <v>2023</v>
      </c>
      <c r="I705" t="str">
        <f t="shared" si="31"/>
        <v>August</v>
      </c>
      <c r="J705" t="str">
        <f t="shared" si="32"/>
        <v>Q3</v>
      </c>
      <c r="K705" t="str">
        <f>TEXT(checking_account_main[[#This Row],[Date]],"mmm-yyyy")</f>
        <v>Aug-2023</v>
      </c>
      <c r="L705">
        <f>_xlfn.XLOOKUP(checking_account_main[[#This Row],[Month_Year]],checking_account_main[Month_Year],checking_account_main[Balance],"",0,-1)</f>
        <v>448707</v>
      </c>
    </row>
    <row r="706" spans="1:12" x14ac:dyDescent="0.3">
      <c r="A706" s="1">
        <v>45151</v>
      </c>
      <c r="B706" t="s">
        <v>722</v>
      </c>
      <c r="C706" t="s">
        <v>8</v>
      </c>
      <c r="D706" t="s">
        <v>9</v>
      </c>
      <c r="E706" t="s">
        <v>10</v>
      </c>
      <c r="F706" s="3">
        <v>801</v>
      </c>
      <c r="G706">
        <v>435775</v>
      </c>
      <c r="H706">
        <f t="shared" ref="H706:H769" si="33">YEAR(A706)</f>
        <v>2023</v>
      </c>
      <c r="I706" t="str">
        <f t="shared" ref="I706:I769" si="34">TEXT(A706,"mmmm")</f>
        <v>August</v>
      </c>
      <c r="J706" t="str">
        <f t="shared" ref="J706:J769" si="35">"Q"&amp;ROUNDUP(MONTH(A706)/3,0)</f>
        <v>Q3</v>
      </c>
      <c r="K706" t="str">
        <f>TEXT(checking_account_main[[#This Row],[Date]],"mmm-yyyy")</f>
        <v>Aug-2023</v>
      </c>
      <c r="L706">
        <f>_xlfn.XLOOKUP(checking_account_main[[#This Row],[Month_Year]],checking_account_main[Month_Year],checking_account_main[Balance],"",0,-1)</f>
        <v>448707</v>
      </c>
    </row>
    <row r="707" spans="1:12" x14ac:dyDescent="0.3">
      <c r="A707" s="1">
        <v>45152</v>
      </c>
      <c r="B707" t="s">
        <v>723</v>
      </c>
      <c r="C707" t="s">
        <v>8</v>
      </c>
      <c r="D707" t="s">
        <v>9</v>
      </c>
      <c r="E707" t="s">
        <v>10</v>
      </c>
      <c r="F707" s="3">
        <v>561</v>
      </c>
      <c r="G707">
        <v>436336</v>
      </c>
      <c r="H707">
        <f t="shared" si="33"/>
        <v>2023</v>
      </c>
      <c r="I707" t="str">
        <f t="shared" si="34"/>
        <v>August</v>
      </c>
      <c r="J707" t="str">
        <f t="shared" si="35"/>
        <v>Q3</v>
      </c>
      <c r="K707" t="str">
        <f>TEXT(checking_account_main[[#This Row],[Date]],"mmm-yyyy")</f>
        <v>Aug-2023</v>
      </c>
      <c r="L707">
        <f>_xlfn.XLOOKUP(checking_account_main[[#This Row],[Month_Year]],checking_account_main[Month_Year],checking_account_main[Balance],"",0,-1)</f>
        <v>448707</v>
      </c>
    </row>
    <row r="708" spans="1:12" x14ac:dyDescent="0.3">
      <c r="A708" s="1">
        <v>45153</v>
      </c>
      <c r="B708" t="s">
        <v>724</v>
      </c>
      <c r="C708" t="s">
        <v>8</v>
      </c>
      <c r="D708" t="s">
        <v>9</v>
      </c>
      <c r="E708" t="s">
        <v>10</v>
      </c>
      <c r="F708" s="3">
        <v>652</v>
      </c>
      <c r="G708">
        <v>436988</v>
      </c>
      <c r="H708">
        <f t="shared" si="33"/>
        <v>2023</v>
      </c>
      <c r="I708" t="str">
        <f t="shared" si="34"/>
        <v>August</v>
      </c>
      <c r="J708" t="str">
        <f t="shared" si="35"/>
        <v>Q3</v>
      </c>
      <c r="K708" t="str">
        <f>TEXT(checking_account_main[[#This Row],[Date]],"mmm-yyyy")</f>
        <v>Aug-2023</v>
      </c>
      <c r="L708">
        <f>_xlfn.XLOOKUP(checking_account_main[[#This Row],[Month_Year]],checking_account_main[Month_Year],checking_account_main[Balance],"",0,-1)</f>
        <v>448707</v>
      </c>
    </row>
    <row r="709" spans="1:12" x14ac:dyDescent="0.3">
      <c r="A709" s="1">
        <v>45154</v>
      </c>
      <c r="B709" t="s">
        <v>725</v>
      </c>
      <c r="C709" t="s">
        <v>8</v>
      </c>
      <c r="D709" t="s">
        <v>9</v>
      </c>
      <c r="E709" t="s">
        <v>10</v>
      </c>
      <c r="F709" s="3">
        <v>759</v>
      </c>
      <c r="G709">
        <v>437747</v>
      </c>
      <c r="H709">
        <f t="shared" si="33"/>
        <v>2023</v>
      </c>
      <c r="I709" t="str">
        <f t="shared" si="34"/>
        <v>August</v>
      </c>
      <c r="J709" t="str">
        <f t="shared" si="35"/>
        <v>Q3</v>
      </c>
      <c r="K709" t="str">
        <f>TEXT(checking_account_main[[#This Row],[Date]],"mmm-yyyy")</f>
        <v>Aug-2023</v>
      </c>
      <c r="L709">
        <f>_xlfn.XLOOKUP(checking_account_main[[#This Row],[Month_Year]],checking_account_main[Month_Year],checking_account_main[Balance],"",0,-1)</f>
        <v>448707</v>
      </c>
    </row>
    <row r="710" spans="1:12" x14ac:dyDescent="0.3">
      <c r="A710" s="1">
        <v>45155</v>
      </c>
      <c r="B710" t="s">
        <v>726</v>
      </c>
      <c r="C710" t="s">
        <v>8</v>
      </c>
      <c r="D710" t="s">
        <v>9</v>
      </c>
      <c r="E710" t="s">
        <v>10</v>
      </c>
      <c r="F710" s="3">
        <v>647</v>
      </c>
      <c r="G710">
        <v>438394</v>
      </c>
      <c r="H710">
        <f t="shared" si="33"/>
        <v>2023</v>
      </c>
      <c r="I710" t="str">
        <f t="shared" si="34"/>
        <v>August</v>
      </c>
      <c r="J710" t="str">
        <f t="shared" si="35"/>
        <v>Q3</v>
      </c>
      <c r="K710" t="str">
        <f>TEXT(checking_account_main[[#This Row],[Date]],"mmm-yyyy")</f>
        <v>Aug-2023</v>
      </c>
      <c r="L710">
        <f>_xlfn.XLOOKUP(checking_account_main[[#This Row],[Month_Year]],checking_account_main[Month_Year],checking_account_main[Balance],"",0,-1)</f>
        <v>448707</v>
      </c>
    </row>
    <row r="711" spans="1:12" x14ac:dyDescent="0.3">
      <c r="A711" s="1">
        <v>45156</v>
      </c>
      <c r="B711" t="s">
        <v>727</v>
      </c>
      <c r="C711" t="s">
        <v>8</v>
      </c>
      <c r="D711" t="s">
        <v>9</v>
      </c>
      <c r="E711" t="s">
        <v>10</v>
      </c>
      <c r="F711" s="3">
        <v>809</v>
      </c>
      <c r="G711">
        <v>439203</v>
      </c>
      <c r="H711">
        <f t="shared" si="33"/>
        <v>2023</v>
      </c>
      <c r="I711" t="str">
        <f t="shared" si="34"/>
        <v>August</v>
      </c>
      <c r="J711" t="str">
        <f t="shared" si="35"/>
        <v>Q3</v>
      </c>
      <c r="K711" t="str">
        <f>TEXT(checking_account_main[[#This Row],[Date]],"mmm-yyyy")</f>
        <v>Aug-2023</v>
      </c>
      <c r="L711">
        <f>_xlfn.XLOOKUP(checking_account_main[[#This Row],[Month_Year]],checking_account_main[Month_Year],checking_account_main[Balance],"",0,-1)</f>
        <v>448707</v>
      </c>
    </row>
    <row r="712" spans="1:12" x14ac:dyDescent="0.3">
      <c r="A712" s="1">
        <v>45157</v>
      </c>
      <c r="B712" t="s">
        <v>728</v>
      </c>
      <c r="C712" t="s">
        <v>8</v>
      </c>
      <c r="D712" t="s">
        <v>9</v>
      </c>
      <c r="E712" t="s">
        <v>10</v>
      </c>
      <c r="F712" s="3">
        <v>992</v>
      </c>
      <c r="G712">
        <v>440195</v>
      </c>
      <c r="H712">
        <f t="shared" si="33"/>
        <v>2023</v>
      </c>
      <c r="I712" t="str">
        <f t="shared" si="34"/>
        <v>August</v>
      </c>
      <c r="J712" t="str">
        <f t="shared" si="35"/>
        <v>Q3</v>
      </c>
      <c r="K712" t="str">
        <f>TEXT(checking_account_main[[#This Row],[Date]],"mmm-yyyy")</f>
        <v>Aug-2023</v>
      </c>
      <c r="L712">
        <f>_xlfn.XLOOKUP(checking_account_main[[#This Row],[Month_Year]],checking_account_main[Month_Year],checking_account_main[Balance],"",0,-1)</f>
        <v>448707</v>
      </c>
    </row>
    <row r="713" spans="1:12" x14ac:dyDescent="0.3">
      <c r="A713" s="1">
        <v>45157</v>
      </c>
      <c r="B713" t="s">
        <v>729</v>
      </c>
      <c r="C713" t="s">
        <v>47</v>
      </c>
      <c r="D713" t="s">
        <v>29</v>
      </c>
      <c r="E713" t="s">
        <v>17</v>
      </c>
      <c r="F713" s="3">
        <v>206</v>
      </c>
      <c r="G713">
        <v>439989</v>
      </c>
      <c r="H713">
        <f t="shared" si="33"/>
        <v>2023</v>
      </c>
      <c r="I713" t="str">
        <f t="shared" si="34"/>
        <v>August</v>
      </c>
      <c r="J713" t="str">
        <f t="shared" si="35"/>
        <v>Q3</v>
      </c>
      <c r="K713" t="str">
        <f>TEXT(checking_account_main[[#This Row],[Date]],"mmm-yyyy")</f>
        <v>Aug-2023</v>
      </c>
      <c r="L713">
        <f>_xlfn.XLOOKUP(checking_account_main[[#This Row],[Month_Year]],checking_account_main[Month_Year],checking_account_main[Balance],"",0,-1)</f>
        <v>448707</v>
      </c>
    </row>
    <row r="714" spans="1:12" x14ac:dyDescent="0.3">
      <c r="A714" s="1">
        <v>45158</v>
      </c>
      <c r="B714" t="s">
        <v>730</v>
      </c>
      <c r="C714" t="s">
        <v>8</v>
      </c>
      <c r="D714" t="s">
        <v>9</v>
      </c>
      <c r="E714" t="s">
        <v>10</v>
      </c>
      <c r="F714" s="3">
        <v>812</v>
      </c>
      <c r="G714">
        <v>440801</v>
      </c>
      <c r="H714">
        <f t="shared" si="33"/>
        <v>2023</v>
      </c>
      <c r="I714" t="str">
        <f t="shared" si="34"/>
        <v>August</v>
      </c>
      <c r="J714" t="str">
        <f t="shared" si="35"/>
        <v>Q3</v>
      </c>
      <c r="K714" t="str">
        <f>TEXT(checking_account_main[[#This Row],[Date]],"mmm-yyyy")</f>
        <v>Aug-2023</v>
      </c>
      <c r="L714">
        <f>_xlfn.XLOOKUP(checking_account_main[[#This Row],[Month_Year]],checking_account_main[Month_Year],checking_account_main[Balance],"",0,-1)</f>
        <v>448707</v>
      </c>
    </row>
    <row r="715" spans="1:12" x14ac:dyDescent="0.3">
      <c r="A715" s="1">
        <v>45159</v>
      </c>
      <c r="B715" t="s">
        <v>731</v>
      </c>
      <c r="C715" t="s">
        <v>8</v>
      </c>
      <c r="D715" t="s">
        <v>9</v>
      </c>
      <c r="E715" t="s">
        <v>10</v>
      </c>
      <c r="F715" s="3">
        <v>740</v>
      </c>
      <c r="G715">
        <v>441541</v>
      </c>
      <c r="H715">
        <f t="shared" si="33"/>
        <v>2023</v>
      </c>
      <c r="I715" t="str">
        <f t="shared" si="34"/>
        <v>August</v>
      </c>
      <c r="J715" t="str">
        <f t="shared" si="35"/>
        <v>Q3</v>
      </c>
      <c r="K715" t="str">
        <f>TEXT(checking_account_main[[#This Row],[Date]],"mmm-yyyy")</f>
        <v>Aug-2023</v>
      </c>
      <c r="L715">
        <f>_xlfn.XLOOKUP(checking_account_main[[#This Row],[Month_Year]],checking_account_main[Month_Year],checking_account_main[Balance],"",0,-1)</f>
        <v>448707</v>
      </c>
    </row>
    <row r="716" spans="1:12" x14ac:dyDescent="0.3">
      <c r="A716" s="1">
        <v>45160</v>
      </c>
      <c r="B716" t="s">
        <v>732</v>
      </c>
      <c r="C716" t="s">
        <v>8</v>
      </c>
      <c r="D716" t="s">
        <v>9</v>
      </c>
      <c r="E716" t="s">
        <v>10</v>
      </c>
      <c r="F716" s="3">
        <v>875</v>
      </c>
      <c r="G716">
        <v>442416</v>
      </c>
      <c r="H716">
        <f t="shared" si="33"/>
        <v>2023</v>
      </c>
      <c r="I716" t="str">
        <f t="shared" si="34"/>
        <v>August</v>
      </c>
      <c r="J716" t="str">
        <f t="shared" si="35"/>
        <v>Q3</v>
      </c>
      <c r="K716" t="str">
        <f>TEXT(checking_account_main[[#This Row],[Date]],"mmm-yyyy")</f>
        <v>Aug-2023</v>
      </c>
      <c r="L716">
        <f>_xlfn.XLOOKUP(checking_account_main[[#This Row],[Month_Year]],checking_account_main[Month_Year],checking_account_main[Balance],"",0,-1)</f>
        <v>448707</v>
      </c>
    </row>
    <row r="717" spans="1:12" x14ac:dyDescent="0.3">
      <c r="A717" s="1">
        <v>45161</v>
      </c>
      <c r="B717" t="s">
        <v>733</v>
      </c>
      <c r="C717" t="s">
        <v>8</v>
      </c>
      <c r="D717" t="s">
        <v>9</v>
      </c>
      <c r="E717" t="s">
        <v>10</v>
      </c>
      <c r="F717" s="3">
        <v>760</v>
      </c>
      <c r="G717">
        <v>443176</v>
      </c>
      <c r="H717">
        <f t="shared" si="33"/>
        <v>2023</v>
      </c>
      <c r="I717" t="str">
        <f t="shared" si="34"/>
        <v>August</v>
      </c>
      <c r="J717" t="str">
        <f t="shared" si="35"/>
        <v>Q3</v>
      </c>
      <c r="K717" t="str">
        <f>TEXT(checking_account_main[[#This Row],[Date]],"mmm-yyyy")</f>
        <v>Aug-2023</v>
      </c>
      <c r="L717">
        <f>_xlfn.XLOOKUP(checking_account_main[[#This Row],[Month_Year]],checking_account_main[Month_Year],checking_account_main[Balance],"",0,-1)</f>
        <v>448707</v>
      </c>
    </row>
    <row r="718" spans="1:12" x14ac:dyDescent="0.3">
      <c r="A718" s="1">
        <v>45162</v>
      </c>
      <c r="B718" t="s">
        <v>734</v>
      </c>
      <c r="C718" t="s">
        <v>8</v>
      </c>
      <c r="D718" t="s">
        <v>9</v>
      </c>
      <c r="E718" t="s">
        <v>10</v>
      </c>
      <c r="F718" s="3">
        <v>714</v>
      </c>
      <c r="G718">
        <v>443890</v>
      </c>
      <c r="H718">
        <f t="shared" si="33"/>
        <v>2023</v>
      </c>
      <c r="I718" t="str">
        <f t="shared" si="34"/>
        <v>August</v>
      </c>
      <c r="J718" t="str">
        <f t="shared" si="35"/>
        <v>Q3</v>
      </c>
      <c r="K718" t="str">
        <f>TEXT(checking_account_main[[#This Row],[Date]],"mmm-yyyy")</f>
        <v>Aug-2023</v>
      </c>
      <c r="L718">
        <f>_xlfn.XLOOKUP(checking_account_main[[#This Row],[Month_Year]],checking_account_main[Month_Year],checking_account_main[Balance],"",0,-1)</f>
        <v>448707</v>
      </c>
    </row>
    <row r="719" spans="1:12" x14ac:dyDescent="0.3">
      <c r="A719" s="1">
        <v>45163</v>
      </c>
      <c r="B719" t="s">
        <v>735</v>
      </c>
      <c r="C719" t="s">
        <v>8</v>
      </c>
      <c r="D719" t="s">
        <v>9</v>
      </c>
      <c r="E719" t="s">
        <v>10</v>
      </c>
      <c r="F719" s="3">
        <v>598</v>
      </c>
      <c r="G719">
        <v>444488</v>
      </c>
      <c r="H719">
        <f t="shared" si="33"/>
        <v>2023</v>
      </c>
      <c r="I719" t="str">
        <f t="shared" si="34"/>
        <v>August</v>
      </c>
      <c r="J719" t="str">
        <f t="shared" si="35"/>
        <v>Q3</v>
      </c>
      <c r="K719" t="str">
        <f>TEXT(checking_account_main[[#This Row],[Date]],"mmm-yyyy")</f>
        <v>Aug-2023</v>
      </c>
      <c r="L719">
        <f>_xlfn.XLOOKUP(checking_account_main[[#This Row],[Month_Year]],checking_account_main[Month_Year],checking_account_main[Balance],"",0,-1)</f>
        <v>448707</v>
      </c>
    </row>
    <row r="720" spans="1:12" x14ac:dyDescent="0.3">
      <c r="A720" s="1">
        <v>45164</v>
      </c>
      <c r="B720" t="s">
        <v>736</v>
      </c>
      <c r="C720" t="s">
        <v>8</v>
      </c>
      <c r="D720" t="s">
        <v>9</v>
      </c>
      <c r="E720" t="s">
        <v>10</v>
      </c>
      <c r="F720" s="3">
        <v>740</v>
      </c>
      <c r="G720">
        <v>445228</v>
      </c>
      <c r="H720">
        <f t="shared" si="33"/>
        <v>2023</v>
      </c>
      <c r="I720" t="str">
        <f t="shared" si="34"/>
        <v>August</v>
      </c>
      <c r="J720" t="str">
        <f t="shared" si="35"/>
        <v>Q3</v>
      </c>
      <c r="K720" t="str">
        <f>TEXT(checking_account_main[[#This Row],[Date]],"mmm-yyyy")</f>
        <v>Aug-2023</v>
      </c>
      <c r="L720">
        <f>_xlfn.XLOOKUP(checking_account_main[[#This Row],[Month_Year]],checking_account_main[Month_Year],checking_account_main[Balance],"",0,-1)</f>
        <v>448707</v>
      </c>
    </row>
    <row r="721" spans="1:12" x14ac:dyDescent="0.3">
      <c r="A721" s="1">
        <v>45164</v>
      </c>
      <c r="B721" t="s">
        <v>737</v>
      </c>
      <c r="C721" t="s">
        <v>47</v>
      </c>
      <c r="D721" t="s">
        <v>29</v>
      </c>
      <c r="E721" t="s">
        <v>17</v>
      </c>
      <c r="F721" s="3">
        <v>277</v>
      </c>
      <c r="G721">
        <v>444951</v>
      </c>
      <c r="H721">
        <f t="shared" si="33"/>
        <v>2023</v>
      </c>
      <c r="I721" t="str">
        <f t="shared" si="34"/>
        <v>August</v>
      </c>
      <c r="J721" t="str">
        <f t="shared" si="35"/>
        <v>Q3</v>
      </c>
      <c r="K721" t="str">
        <f>TEXT(checking_account_main[[#This Row],[Date]],"mmm-yyyy")</f>
        <v>Aug-2023</v>
      </c>
      <c r="L721">
        <f>_xlfn.XLOOKUP(checking_account_main[[#This Row],[Month_Year]],checking_account_main[Month_Year],checking_account_main[Balance],"",0,-1)</f>
        <v>448707</v>
      </c>
    </row>
    <row r="722" spans="1:12" x14ac:dyDescent="0.3">
      <c r="A722" s="1">
        <v>45165</v>
      </c>
      <c r="B722" t="s">
        <v>738</v>
      </c>
      <c r="C722" t="s">
        <v>8</v>
      </c>
      <c r="D722" t="s">
        <v>9</v>
      </c>
      <c r="E722" t="s">
        <v>10</v>
      </c>
      <c r="F722" s="3">
        <v>561</v>
      </c>
      <c r="G722">
        <v>445512</v>
      </c>
      <c r="H722">
        <f t="shared" si="33"/>
        <v>2023</v>
      </c>
      <c r="I722" t="str">
        <f t="shared" si="34"/>
        <v>August</v>
      </c>
      <c r="J722" t="str">
        <f t="shared" si="35"/>
        <v>Q3</v>
      </c>
      <c r="K722" t="str">
        <f>TEXT(checking_account_main[[#This Row],[Date]],"mmm-yyyy")</f>
        <v>Aug-2023</v>
      </c>
      <c r="L722">
        <f>_xlfn.XLOOKUP(checking_account_main[[#This Row],[Month_Year]],checking_account_main[Month_Year],checking_account_main[Balance],"",0,-1)</f>
        <v>448707</v>
      </c>
    </row>
    <row r="723" spans="1:12" x14ac:dyDescent="0.3">
      <c r="A723" s="1">
        <v>45166</v>
      </c>
      <c r="B723" t="s">
        <v>739</v>
      </c>
      <c r="C723" t="s">
        <v>8</v>
      </c>
      <c r="D723" t="s">
        <v>9</v>
      </c>
      <c r="E723" t="s">
        <v>10</v>
      </c>
      <c r="F723" s="3">
        <v>502</v>
      </c>
      <c r="G723">
        <v>446014</v>
      </c>
      <c r="H723">
        <f t="shared" si="33"/>
        <v>2023</v>
      </c>
      <c r="I723" t="str">
        <f t="shared" si="34"/>
        <v>August</v>
      </c>
      <c r="J723" t="str">
        <f t="shared" si="35"/>
        <v>Q3</v>
      </c>
      <c r="K723" t="str">
        <f>TEXT(checking_account_main[[#This Row],[Date]],"mmm-yyyy")</f>
        <v>Aug-2023</v>
      </c>
      <c r="L723">
        <f>_xlfn.XLOOKUP(checking_account_main[[#This Row],[Month_Year]],checking_account_main[Month_Year],checking_account_main[Balance],"",0,-1)</f>
        <v>448707</v>
      </c>
    </row>
    <row r="724" spans="1:12" x14ac:dyDescent="0.3">
      <c r="A724" s="1">
        <v>45167</v>
      </c>
      <c r="B724" t="s">
        <v>740</v>
      </c>
      <c r="C724" t="s">
        <v>8</v>
      </c>
      <c r="D724" t="s">
        <v>9</v>
      </c>
      <c r="E724" t="s">
        <v>10</v>
      </c>
      <c r="F724" s="3">
        <v>985</v>
      </c>
      <c r="G724">
        <v>446999</v>
      </c>
      <c r="H724">
        <f t="shared" si="33"/>
        <v>2023</v>
      </c>
      <c r="I724" t="str">
        <f t="shared" si="34"/>
        <v>August</v>
      </c>
      <c r="J724" t="str">
        <f t="shared" si="35"/>
        <v>Q3</v>
      </c>
      <c r="K724" t="str">
        <f>TEXT(checking_account_main[[#This Row],[Date]],"mmm-yyyy")</f>
        <v>Aug-2023</v>
      </c>
      <c r="L724">
        <f>_xlfn.XLOOKUP(checking_account_main[[#This Row],[Month_Year]],checking_account_main[Month_Year],checking_account_main[Balance],"",0,-1)</f>
        <v>448707</v>
      </c>
    </row>
    <row r="725" spans="1:12" x14ac:dyDescent="0.3">
      <c r="A725" s="1">
        <v>45168</v>
      </c>
      <c r="B725" t="s">
        <v>741</v>
      </c>
      <c r="C725" t="s">
        <v>8</v>
      </c>
      <c r="D725" t="s">
        <v>9</v>
      </c>
      <c r="E725" t="s">
        <v>10</v>
      </c>
      <c r="F725" s="3">
        <v>880</v>
      </c>
      <c r="G725">
        <v>447879</v>
      </c>
      <c r="H725">
        <f t="shared" si="33"/>
        <v>2023</v>
      </c>
      <c r="I725" t="str">
        <f t="shared" si="34"/>
        <v>August</v>
      </c>
      <c r="J725" t="str">
        <f t="shared" si="35"/>
        <v>Q3</v>
      </c>
      <c r="K725" t="str">
        <f>TEXT(checking_account_main[[#This Row],[Date]],"mmm-yyyy")</f>
        <v>Aug-2023</v>
      </c>
      <c r="L725">
        <f>_xlfn.XLOOKUP(checking_account_main[[#This Row],[Month_Year]],checking_account_main[Month_Year],checking_account_main[Balance],"",0,-1)</f>
        <v>448707</v>
      </c>
    </row>
    <row r="726" spans="1:12" x14ac:dyDescent="0.3">
      <c r="A726" s="1">
        <v>45169</v>
      </c>
      <c r="B726" t="s">
        <v>742</v>
      </c>
      <c r="C726" t="s">
        <v>8</v>
      </c>
      <c r="D726" t="s">
        <v>9</v>
      </c>
      <c r="E726" t="s">
        <v>10</v>
      </c>
      <c r="F726" s="3">
        <v>828</v>
      </c>
      <c r="G726">
        <v>448707</v>
      </c>
      <c r="H726">
        <f t="shared" si="33"/>
        <v>2023</v>
      </c>
      <c r="I726" t="str">
        <f t="shared" si="34"/>
        <v>August</v>
      </c>
      <c r="J726" t="str">
        <f t="shared" si="35"/>
        <v>Q3</v>
      </c>
      <c r="K726" t="str">
        <f>TEXT(checking_account_main[[#This Row],[Date]],"mmm-yyyy")</f>
        <v>Aug-2023</v>
      </c>
      <c r="L726">
        <f>_xlfn.XLOOKUP(checking_account_main[[#This Row],[Month_Year]],checking_account_main[Month_Year],checking_account_main[Balance],"",0,-1)</f>
        <v>448707</v>
      </c>
    </row>
    <row r="727" spans="1:12" x14ac:dyDescent="0.3">
      <c r="A727" s="1">
        <v>45170</v>
      </c>
      <c r="B727" t="s">
        <v>743</v>
      </c>
      <c r="C727" t="s">
        <v>8</v>
      </c>
      <c r="D727" t="s">
        <v>9</v>
      </c>
      <c r="E727" t="s">
        <v>10</v>
      </c>
      <c r="F727" s="3">
        <v>1056</v>
      </c>
      <c r="G727">
        <v>449763</v>
      </c>
      <c r="H727">
        <f t="shared" si="33"/>
        <v>2023</v>
      </c>
      <c r="I727" t="str">
        <f t="shared" si="34"/>
        <v>September</v>
      </c>
      <c r="J727" t="str">
        <f t="shared" si="35"/>
        <v>Q3</v>
      </c>
      <c r="K727" t="str">
        <f>TEXT(checking_account_main[[#This Row],[Date]],"mmm-yyyy")</f>
        <v>Sep-2023</v>
      </c>
      <c r="L727">
        <f>_xlfn.XLOOKUP(checking_account_main[[#This Row],[Month_Year]],checking_account_main[Month_Year],checking_account_main[Balance],"",0,-1)</f>
        <v>473445</v>
      </c>
    </row>
    <row r="728" spans="1:12" x14ac:dyDescent="0.3">
      <c r="A728" s="1">
        <v>45170</v>
      </c>
      <c r="B728" t="s">
        <v>744</v>
      </c>
      <c r="C728" t="s">
        <v>15</v>
      </c>
      <c r="D728" t="s">
        <v>16</v>
      </c>
      <c r="E728" t="s">
        <v>17</v>
      </c>
      <c r="F728" s="3">
        <v>204</v>
      </c>
      <c r="G728">
        <v>449559</v>
      </c>
      <c r="H728">
        <f t="shared" si="33"/>
        <v>2023</v>
      </c>
      <c r="I728" t="str">
        <f t="shared" si="34"/>
        <v>September</v>
      </c>
      <c r="J728" t="str">
        <f t="shared" si="35"/>
        <v>Q3</v>
      </c>
      <c r="K728" t="str">
        <f>TEXT(checking_account_main[[#This Row],[Date]],"mmm-yyyy")</f>
        <v>Sep-2023</v>
      </c>
      <c r="L728">
        <f>_xlfn.XLOOKUP(checking_account_main[[#This Row],[Month_Year]],checking_account_main[Month_Year],checking_account_main[Balance],"",0,-1)</f>
        <v>473445</v>
      </c>
    </row>
    <row r="729" spans="1:12" x14ac:dyDescent="0.3">
      <c r="A729" s="1">
        <v>45171</v>
      </c>
      <c r="B729" t="s">
        <v>745</v>
      </c>
      <c r="C729" t="s">
        <v>8</v>
      </c>
      <c r="D729" t="s">
        <v>9</v>
      </c>
      <c r="E729" t="s">
        <v>10</v>
      </c>
      <c r="F729" s="3">
        <v>822</v>
      </c>
      <c r="G729">
        <v>450381</v>
      </c>
      <c r="H729">
        <f t="shared" si="33"/>
        <v>2023</v>
      </c>
      <c r="I729" t="str">
        <f t="shared" si="34"/>
        <v>September</v>
      </c>
      <c r="J729" t="str">
        <f t="shared" si="35"/>
        <v>Q3</v>
      </c>
      <c r="K729" t="str">
        <f>TEXT(checking_account_main[[#This Row],[Date]],"mmm-yyyy")</f>
        <v>Sep-2023</v>
      </c>
      <c r="L729">
        <f>_xlfn.XLOOKUP(checking_account_main[[#This Row],[Month_Year]],checking_account_main[Month_Year],checking_account_main[Balance],"",0,-1)</f>
        <v>473445</v>
      </c>
    </row>
    <row r="730" spans="1:12" x14ac:dyDescent="0.3">
      <c r="A730" s="1">
        <v>45171</v>
      </c>
      <c r="B730" t="s">
        <v>746</v>
      </c>
      <c r="C730" t="s">
        <v>15</v>
      </c>
      <c r="D730" t="s">
        <v>16</v>
      </c>
      <c r="E730" t="s">
        <v>17</v>
      </c>
      <c r="F730" s="3">
        <v>236</v>
      </c>
      <c r="G730">
        <v>450145</v>
      </c>
      <c r="H730">
        <f t="shared" si="33"/>
        <v>2023</v>
      </c>
      <c r="I730" t="str">
        <f t="shared" si="34"/>
        <v>September</v>
      </c>
      <c r="J730" t="str">
        <f t="shared" si="35"/>
        <v>Q3</v>
      </c>
      <c r="K730" t="str">
        <f>TEXT(checking_account_main[[#This Row],[Date]],"mmm-yyyy")</f>
        <v>Sep-2023</v>
      </c>
      <c r="L730">
        <f>_xlfn.XLOOKUP(checking_account_main[[#This Row],[Month_Year]],checking_account_main[Month_Year],checking_account_main[Balance],"",0,-1)</f>
        <v>473445</v>
      </c>
    </row>
    <row r="731" spans="1:12" x14ac:dyDescent="0.3">
      <c r="A731" s="1">
        <v>45172</v>
      </c>
      <c r="B731" t="s">
        <v>747</v>
      </c>
      <c r="C731" t="s">
        <v>8</v>
      </c>
      <c r="D731" t="s">
        <v>9</v>
      </c>
      <c r="E731" t="s">
        <v>10</v>
      </c>
      <c r="F731" s="3">
        <v>1108</v>
      </c>
      <c r="G731">
        <v>451253</v>
      </c>
      <c r="H731">
        <f t="shared" si="33"/>
        <v>2023</v>
      </c>
      <c r="I731" t="str">
        <f t="shared" si="34"/>
        <v>September</v>
      </c>
      <c r="J731" t="str">
        <f t="shared" si="35"/>
        <v>Q3</v>
      </c>
      <c r="K731" t="str">
        <f>TEXT(checking_account_main[[#This Row],[Date]],"mmm-yyyy")</f>
        <v>Sep-2023</v>
      </c>
      <c r="L731">
        <f>_xlfn.XLOOKUP(checking_account_main[[#This Row],[Month_Year]],checking_account_main[Month_Year],checking_account_main[Balance],"",0,-1)</f>
        <v>473445</v>
      </c>
    </row>
    <row r="732" spans="1:12" x14ac:dyDescent="0.3">
      <c r="A732" s="1">
        <v>45173</v>
      </c>
      <c r="B732" t="s">
        <v>748</v>
      </c>
      <c r="C732" t="s">
        <v>8</v>
      </c>
      <c r="D732" t="s">
        <v>9</v>
      </c>
      <c r="E732" t="s">
        <v>10</v>
      </c>
      <c r="F732" s="3">
        <v>869</v>
      </c>
      <c r="G732">
        <v>452122</v>
      </c>
      <c r="H732">
        <f t="shared" si="33"/>
        <v>2023</v>
      </c>
      <c r="I732" t="str">
        <f t="shared" si="34"/>
        <v>September</v>
      </c>
      <c r="J732" t="str">
        <f t="shared" si="35"/>
        <v>Q3</v>
      </c>
      <c r="K732" t="str">
        <f>TEXT(checking_account_main[[#This Row],[Date]],"mmm-yyyy")</f>
        <v>Sep-2023</v>
      </c>
      <c r="L732">
        <f>_xlfn.XLOOKUP(checking_account_main[[#This Row],[Month_Year]],checking_account_main[Month_Year],checking_account_main[Balance],"",0,-1)</f>
        <v>473445</v>
      </c>
    </row>
    <row r="733" spans="1:12" x14ac:dyDescent="0.3">
      <c r="A733" s="1">
        <v>45174</v>
      </c>
      <c r="B733" t="s">
        <v>749</v>
      </c>
      <c r="C733" t="s">
        <v>8</v>
      </c>
      <c r="D733" t="s">
        <v>9</v>
      </c>
      <c r="E733" t="s">
        <v>10</v>
      </c>
      <c r="F733" s="3">
        <v>739</v>
      </c>
      <c r="G733">
        <v>452861</v>
      </c>
      <c r="H733">
        <f t="shared" si="33"/>
        <v>2023</v>
      </c>
      <c r="I733" t="str">
        <f t="shared" si="34"/>
        <v>September</v>
      </c>
      <c r="J733" t="str">
        <f t="shared" si="35"/>
        <v>Q3</v>
      </c>
      <c r="K733" t="str">
        <f>TEXT(checking_account_main[[#This Row],[Date]],"mmm-yyyy")</f>
        <v>Sep-2023</v>
      </c>
      <c r="L733">
        <f>_xlfn.XLOOKUP(checking_account_main[[#This Row],[Month_Year]],checking_account_main[Month_Year],checking_account_main[Balance],"",0,-1)</f>
        <v>473445</v>
      </c>
    </row>
    <row r="734" spans="1:12" x14ac:dyDescent="0.3">
      <c r="A734" s="1">
        <v>45175</v>
      </c>
      <c r="B734" t="s">
        <v>750</v>
      </c>
      <c r="C734" t="s">
        <v>8</v>
      </c>
      <c r="D734" t="s">
        <v>9</v>
      </c>
      <c r="E734" t="s">
        <v>10</v>
      </c>
      <c r="F734" s="3">
        <v>1094</v>
      </c>
      <c r="G734">
        <v>453955</v>
      </c>
      <c r="H734">
        <f t="shared" si="33"/>
        <v>2023</v>
      </c>
      <c r="I734" t="str">
        <f t="shared" si="34"/>
        <v>September</v>
      </c>
      <c r="J734" t="str">
        <f t="shared" si="35"/>
        <v>Q3</v>
      </c>
      <c r="K734" t="str">
        <f>TEXT(checking_account_main[[#This Row],[Date]],"mmm-yyyy")</f>
        <v>Sep-2023</v>
      </c>
      <c r="L734">
        <f>_xlfn.XLOOKUP(checking_account_main[[#This Row],[Month_Year]],checking_account_main[Month_Year],checking_account_main[Balance],"",0,-1)</f>
        <v>473445</v>
      </c>
    </row>
    <row r="735" spans="1:12" x14ac:dyDescent="0.3">
      <c r="A735" s="1">
        <v>45175</v>
      </c>
      <c r="B735" t="s">
        <v>751</v>
      </c>
      <c r="C735" t="s">
        <v>15</v>
      </c>
      <c r="D735" t="s">
        <v>16</v>
      </c>
      <c r="E735" t="s">
        <v>17</v>
      </c>
      <c r="F735" s="3">
        <v>223</v>
      </c>
      <c r="G735">
        <v>453732</v>
      </c>
      <c r="H735">
        <f t="shared" si="33"/>
        <v>2023</v>
      </c>
      <c r="I735" t="str">
        <f t="shared" si="34"/>
        <v>September</v>
      </c>
      <c r="J735" t="str">
        <f t="shared" si="35"/>
        <v>Q3</v>
      </c>
      <c r="K735" t="str">
        <f>TEXT(checking_account_main[[#This Row],[Date]],"mmm-yyyy")</f>
        <v>Sep-2023</v>
      </c>
      <c r="L735">
        <f>_xlfn.XLOOKUP(checking_account_main[[#This Row],[Month_Year]],checking_account_main[Month_Year],checking_account_main[Balance],"",0,-1)</f>
        <v>473445</v>
      </c>
    </row>
    <row r="736" spans="1:12" x14ac:dyDescent="0.3">
      <c r="A736" s="1">
        <v>45176</v>
      </c>
      <c r="B736" t="s">
        <v>752</v>
      </c>
      <c r="C736" t="s">
        <v>8</v>
      </c>
      <c r="D736" t="s">
        <v>9</v>
      </c>
      <c r="E736" t="s">
        <v>10</v>
      </c>
      <c r="F736" s="3">
        <v>1088</v>
      </c>
      <c r="G736">
        <v>454820</v>
      </c>
      <c r="H736">
        <f t="shared" si="33"/>
        <v>2023</v>
      </c>
      <c r="I736" t="str">
        <f t="shared" si="34"/>
        <v>September</v>
      </c>
      <c r="J736" t="str">
        <f t="shared" si="35"/>
        <v>Q3</v>
      </c>
      <c r="K736" t="str">
        <f>TEXT(checking_account_main[[#This Row],[Date]],"mmm-yyyy")</f>
        <v>Sep-2023</v>
      </c>
      <c r="L736">
        <f>_xlfn.XLOOKUP(checking_account_main[[#This Row],[Month_Year]],checking_account_main[Month_Year],checking_account_main[Balance],"",0,-1)</f>
        <v>473445</v>
      </c>
    </row>
    <row r="737" spans="1:12" x14ac:dyDescent="0.3">
      <c r="A737" s="1">
        <v>45176</v>
      </c>
      <c r="B737" t="s">
        <v>753</v>
      </c>
      <c r="C737" t="s">
        <v>22</v>
      </c>
      <c r="D737" t="s">
        <v>16</v>
      </c>
      <c r="E737" t="s">
        <v>17</v>
      </c>
      <c r="F737" s="3">
        <v>136</v>
      </c>
      <c r="G737">
        <v>454684</v>
      </c>
      <c r="H737">
        <f t="shared" si="33"/>
        <v>2023</v>
      </c>
      <c r="I737" t="str">
        <f t="shared" si="34"/>
        <v>September</v>
      </c>
      <c r="J737" t="str">
        <f t="shared" si="35"/>
        <v>Q3</v>
      </c>
      <c r="K737" t="str">
        <f>TEXT(checking_account_main[[#This Row],[Date]],"mmm-yyyy")</f>
        <v>Sep-2023</v>
      </c>
      <c r="L737">
        <f>_xlfn.XLOOKUP(checking_account_main[[#This Row],[Month_Year]],checking_account_main[Month_Year],checking_account_main[Balance],"",0,-1)</f>
        <v>473445</v>
      </c>
    </row>
    <row r="738" spans="1:12" x14ac:dyDescent="0.3">
      <c r="A738" s="1">
        <v>45177</v>
      </c>
      <c r="B738" t="s">
        <v>754</v>
      </c>
      <c r="C738" t="s">
        <v>8</v>
      </c>
      <c r="D738" t="s">
        <v>9</v>
      </c>
      <c r="E738" t="s">
        <v>10</v>
      </c>
      <c r="F738" s="3">
        <v>875</v>
      </c>
      <c r="G738">
        <v>455559</v>
      </c>
      <c r="H738">
        <f t="shared" si="33"/>
        <v>2023</v>
      </c>
      <c r="I738" t="str">
        <f t="shared" si="34"/>
        <v>September</v>
      </c>
      <c r="J738" t="str">
        <f t="shared" si="35"/>
        <v>Q3</v>
      </c>
      <c r="K738" t="str">
        <f>TEXT(checking_account_main[[#This Row],[Date]],"mmm-yyyy")</f>
        <v>Sep-2023</v>
      </c>
      <c r="L738">
        <f>_xlfn.XLOOKUP(checking_account_main[[#This Row],[Month_Year]],checking_account_main[Month_Year],checking_account_main[Balance],"",0,-1)</f>
        <v>473445</v>
      </c>
    </row>
    <row r="739" spans="1:12" x14ac:dyDescent="0.3">
      <c r="A739" s="1">
        <v>45178</v>
      </c>
      <c r="B739" t="s">
        <v>755</v>
      </c>
      <c r="C739" t="s">
        <v>8</v>
      </c>
      <c r="D739" t="s">
        <v>9</v>
      </c>
      <c r="E739" t="s">
        <v>10</v>
      </c>
      <c r="F739" s="3">
        <v>1152</v>
      </c>
      <c r="G739">
        <v>456711</v>
      </c>
      <c r="H739">
        <f t="shared" si="33"/>
        <v>2023</v>
      </c>
      <c r="I739" t="str">
        <f t="shared" si="34"/>
        <v>September</v>
      </c>
      <c r="J739" t="str">
        <f t="shared" si="35"/>
        <v>Q3</v>
      </c>
      <c r="K739" t="str">
        <f>TEXT(checking_account_main[[#This Row],[Date]],"mmm-yyyy")</f>
        <v>Sep-2023</v>
      </c>
      <c r="L739">
        <f>_xlfn.XLOOKUP(checking_account_main[[#This Row],[Month_Year]],checking_account_main[Month_Year],checking_account_main[Balance],"",0,-1)</f>
        <v>473445</v>
      </c>
    </row>
    <row r="740" spans="1:12" x14ac:dyDescent="0.3">
      <c r="A740" s="1">
        <v>45179</v>
      </c>
      <c r="B740" t="s">
        <v>756</v>
      </c>
      <c r="C740" t="s">
        <v>8</v>
      </c>
      <c r="D740" t="s">
        <v>9</v>
      </c>
      <c r="E740" t="s">
        <v>10</v>
      </c>
      <c r="F740" s="3">
        <v>813</v>
      </c>
      <c r="G740">
        <v>457524</v>
      </c>
      <c r="H740">
        <f t="shared" si="33"/>
        <v>2023</v>
      </c>
      <c r="I740" t="str">
        <f t="shared" si="34"/>
        <v>September</v>
      </c>
      <c r="J740" t="str">
        <f t="shared" si="35"/>
        <v>Q3</v>
      </c>
      <c r="K740" t="str">
        <f>TEXT(checking_account_main[[#This Row],[Date]],"mmm-yyyy")</f>
        <v>Sep-2023</v>
      </c>
      <c r="L740">
        <f>_xlfn.XLOOKUP(checking_account_main[[#This Row],[Month_Year]],checking_account_main[Month_Year],checking_account_main[Balance],"",0,-1)</f>
        <v>473445</v>
      </c>
    </row>
    <row r="741" spans="1:12" x14ac:dyDescent="0.3">
      <c r="A741" s="1">
        <v>45180</v>
      </c>
      <c r="B741" t="s">
        <v>757</v>
      </c>
      <c r="C741" t="s">
        <v>8</v>
      </c>
      <c r="D741" t="s">
        <v>9</v>
      </c>
      <c r="E741" t="s">
        <v>10</v>
      </c>
      <c r="F741" s="3">
        <v>923</v>
      </c>
      <c r="G741">
        <v>458447</v>
      </c>
      <c r="H741">
        <f t="shared" si="33"/>
        <v>2023</v>
      </c>
      <c r="I741" t="str">
        <f t="shared" si="34"/>
        <v>September</v>
      </c>
      <c r="J741" t="str">
        <f t="shared" si="35"/>
        <v>Q3</v>
      </c>
      <c r="K741" t="str">
        <f>TEXT(checking_account_main[[#This Row],[Date]],"mmm-yyyy")</f>
        <v>Sep-2023</v>
      </c>
      <c r="L741">
        <f>_xlfn.XLOOKUP(checking_account_main[[#This Row],[Month_Year]],checking_account_main[Month_Year],checking_account_main[Balance],"",0,-1)</f>
        <v>473445</v>
      </c>
    </row>
    <row r="742" spans="1:12" x14ac:dyDescent="0.3">
      <c r="A742" s="1">
        <v>45181</v>
      </c>
      <c r="B742" t="s">
        <v>758</v>
      </c>
      <c r="C742" t="s">
        <v>8</v>
      </c>
      <c r="D742" t="s">
        <v>9</v>
      </c>
      <c r="E742" t="s">
        <v>10</v>
      </c>
      <c r="F742" s="3">
        <v>814</v>
      </c>
      <c r="G742">
        <v>459261</v>
      </c>
      <c r="H742">
        <f t="shared" si="33"/>
        <v>2023</v>
      </c>
      <c r="I742" t="str">
        <f t="shared" si="34"/>
        <v>September</v>
      </c>
      <c r="J742" t="str">
        <f t="shared" si="35"/>
        <v>Q3</v>
      </c>
      <c r="K742" t="str">
        <f>TEXT(checking_account_main[[#This Row],[Date]],"mmm-yyyy")</f>
        <v>Sep-2023</v>
      </c>
      <c r="L742">
        <f>_xlfn.XLOOKUP(checking_account_main[[#This Row],[Month_Year]],checking_account_main[Month_Year],checking_account_main[Balance],"",0,-1)</f>
        <v>473445</v>
      </c>
    </row>
    <row r="743" spans="1:12" x14ac:dyDescent="0.3">
      <c r="A743" s="1">
        <v>45182</v>
      </c>
      <c r="B743" t="s">
        <v>759</v>
      </c>
      <c r="C743" t="s">
        <v>8</v>
      </c>
      <c r="D743" t="s">
        <v>9</v>
      </c>
      <c r="E743" t="s">
        <v>10</v>
      </c>
      <c r="F743" s="3">
        <v>755</v>
      </c>
      <c r="G743">
        <v>460016</v>
      </c>
      <c r="H743">
        <f t="shared" si="33"/>
        <v>2023</v>
      </c>
      <c r="I743" t="str">
        <f t="shared" si="34"/>
        <v>September</v>
      </c>
      <c r="J743" t="str">
        <f t="shared" si="35"/>
        <v>Q3</v>
      </c>
      <c r="K743" t="str">
        <f>TEXT(checking_account_main[[#This Row],[Date]],"mmm-yyyy")</f>
        <v>Sep-2023</v>
      </c>
      <c r="L743">
        <f>_xlfn.XLOOKUP(checking_account_main[[#This Row],[Month_Year]],checking_account_main[Month_Year],checking_account_main[Balance],"",0,-1)</f>
        <v>473445</v>
      </c>
    </row>
    <row r="744" spans="1:12" x14ac:dyDescent="0.3">
      <c r="A744" s="1">
        <v>45183</v>
      </c>
      <c r="B744" t="s">
        <v>760</v>
      </c>
      <c r="C744" t="s">
        <v>8</v>
      </c>
      <c r="D744" t="s">
        <v>9</v>
      </c>
      <c r="E744" t="s">
        <v>10</v>
      </c>
      <c r="F744" s="3">
        <v>739</v>
      </c>
      <c r="G744">
        <v>460755</v>
      </c>
      <c r="H744">
        <f t="shared" si="33"/>
        <v>2023</v>
      </c>
      <c r="I744" t="str">
        <f t="shared" si="34"/>
        <v>September</v>
      </c>
      <c r="J744" t="str">
        <f t="shared" si="35"/>
        <v>Q3</v>
      </c>
      <c r="K744" t="str">
        <f>TEXT(checking_account_main[[#This Row],[Date]],"mmm-yyyy")</f>
        <v>Sep-2023</v>
      </c>
      <c r="L744">
        <f>_xlfn.XLOOKUP(checking_account_main[[#This Row],[Month_Year]],checking_account_main[Month_Year],checking_account_main[Balance],"",0,-1)</f>
        <v>473445</v>
      </c>
    </row>
    <row r="745" spans="1:12" x14ac:dyDescent="0.3">
      <c r="A745" s="1">
        <v>45184</v>
      </c>
      <c r="B745" t="s">
        <v>761</v>
      </c>
      <c r="C745" t="s">
        <v>8</v>
      </c>
      <c r="D745" t="s">
        <v>9</v>
      </c>
      <c r="E745" t="s">
        <v>10</v>
      </c>
      <c r="F745" s="3">
        <v>936</v>
      </c>
      <c r="G745">
        <v>461691</v>
      </c>
      <c r="H745">
        <f t="shared" si="33"/>
        <v>2023</v>
      </c>
      <c r="I745" t="str">
        <f t="shared" si="34"/>
        <v>September</v>
      </c>
      <c r="J745" t="str">
        <f t="shared" si="35"/>
        <v>Q3</v>
      </c>
      <c r="K745" t="str">
        <f>TEXT(checking_account_main[[#This Row],[Date]],"mmm-yyyy")</f>
        <v>Sep-2023</v>
      </c>
      <c r="L745">
        <f>_xlfn.XLOOKUP(checking_account_main[[#This Row],[Month_Year]],checking_account_main[Month_Year],checking_account_main[Balance],"",0,-1)</f>
        <v>473445</v>
      </c>
    </row>
    <row r="746" spans="1:12" x14ac:dyDescent="0.3">
      <c r="A746" s="1">
        <v>45185</v>
      </c>
      <c r="B746" t="s">
        <v>762</v>
      </c>
      <c r="C746" t="s">
        <v>8</v>
      </c>
      <c r="D746" t="s">
        <v>9</v>
      </c>
      <c r="E746" t="s">
        <v>10</v>
      </c>
      <c r="F746" s="3">
        <v>915</v>
      </c>
      <c r="G746">
        <v>462606</v>
      </c>
      <c r="H746">
        <f t="shared" si="33"/>
        <v>2023</v>
      </c>
      <c r="I746" t="str">
        <f t="shared" si="34"/>
        <v>September</v>
      </c>
      <c r="J746" t="str">
        <f t="shared" si="35"/>
        <v>Q3</v>
      </c>
      <c r="K746" t="str">
        <f>TEXT(checking_account_main[[#This Row],[Date]],"mmm-yyyy")</f>
        <v>Sep-2023</v>
      </c>
      <c r="L746">
        <f>_xlfn.XLOOKUP(checking_account_main[[#This Row],[Month_Year]],checking_account_main[Month_Year],checking_account_main[Balance],"",0,-1)</f>
        <v>473445</v>
      </c>
    </row>
    <row r="747" spans="1:12" x14ac:dyDescent="0.3">
      <c r="A747" s="1">
        <v>45186</v>
      </c>
      <c r="B747" t="s">
        <v>763</v>
      </c>
      <c r="C747" t="s">
        <v>8</v>
      </c>
      <c r="D747" t="s">
        <v>9</v>
      </c>
      <c r="E747" t="s">
        <v>10</v>
      </c>
      <c r="F747" s="3">
        <v>867</v>
      </c>
      <c r="G747">
        <v>463473</v>
      </c>
      <c r="H747">
        <f t="shared" si="33"/>
        <v>2023</v>
      </c>
      <c r="I747" t="str">
        <f t="shared" si="34"/>
        <v>September</v>
      </c>
      <c r="J747" t="str">
        <f t="shared" si="35"/>
        <v>Q3</v>
      </c>
      <c r="K747" t="str">
        <f>TEXT(checking_account_main[[#This Row],[Date]],"mmm-yyyy")</f>
        <v>Sep-2023</v>
      </c>
      <c r="L747">
        <f>_xlfn.XLOOKUP(checking_account_main[[#This Row],[Month_Year]],checking_account_main[Month_Year],checking_account_main[Balance],"",0,-1)</f>
        <v>473445</v>
      </c>
    </row>
    <row r="748" spans="1:12" x14ac:dyDescent="0.3">
      <c r="A748" s="1">
        <v>45187</v>
      </c>
      <c r="B748" t="s">
        <v>764</v>
      </c>
      <c r="C748" t="s">
        <v>8</v>
      </c>
      <c r="D748" t="s">
        <v>9</v>
      </c>
      <c r="E748" t="s">
        <v>10</v>
      </c>
      <c r="F748" s="3">
        <v>758</v>
      </c>
      <c r="G748">
        <v>464231</v>
      </c>
      <c r="H748">
        <f t="shared" si="33"/>
        <v>2023</v>
      </c>
      <c r="I748" t="str">
        <f t="shared" si="34"/>
        <v>September</v>
      </c>
      <c r="J748" t="str">
        <f t="shared" si="35"/>
        <v>Q3</v>
      </c>
      <c r="K748" t="str">
        <f>TEXT(checking_account_main[[#This Row],[Date]],"mmm-yyyy")</f>
        <v>Sep-2023</v>
      </c>
      <c r="L748">
        <f>_xlfn.XLOOKUP(checking_account_main[[#This Row],[Month_Year]],checking_account_main[Month_Year],checking_account_main[Balance],"",0,-1)</f>
        <v>473445</v>
      </c>
    </row>
    <row r="749" spans="1:12" x14ac:dyDescent="0.3">
      <c r="A749" s="1">
        <v>45188</v>
      </c>
      <c r="B749" t="s">
        <v>765</v>
      </c>
      <c r="C749" t="s">
        <v>8</v>
      </c>
      <c r="D749" t="s">
        <v>9</v>
      </c>
      <c r="E749" t="s">
        <v>10</v>
      </c>
      <c r="F749" s="3">
        <v>868</v>
      </c>
      <c r="G749">
        <v>465099</v>
      </c>
      <c r="H749">
        <f t="shared" si="33"/>
        <v>2023</v>
      </c>
      <c r="I749" t="str">
        <f t="shared" si="34"/>
        <v>September</v>
      </c>
      <c r="J749" t="str">
        <f t="shared" si="35"/>
        <v>Q3</v>
      </c>
      <c r="K749" t="str">
        <f>TEXT(checking_account_main[[#This Row],[Date]],"mmm-yyyy")</f>
        <v>Sep-2023</v>
      </c>
      <c r="L749">
        <f>_xlfn.XLOOKUP(checking_account_main[[#This Row],[Month_Year]],checking_account_main[Month_Year],checking_account_main[Balance],"",0,-1)</f>
        <v>473445</v>
      </c>
    </row>
    <row r="750" spans="1:12" x14ac:dyDescent="0.3">
      <c r="A750" s="1">
        <v>45189</v>
      </c>
      <c r="B750" t="s">
        <v>766</v>
      </c>
      <c r="C750" t="s">
        <v>8</v>
      </c>
      <c r="D750" t="s">
        <v>9</v>
      </c>
      <c r="E750" t="s">
        <v>10</v>
      </c>
      <c r="F750" s="3">
        <v>744</v>
      </c>
      <c r="G750">
        <v>465843</v>
      </c>
      <c r="H750">
        <f t="shared" si="33"/>
        <v>2023</v>
      </c>
      <c r="I750" t="str">
        <f t="shared" si="34"/>
        <v>September</v>
      </c>
      <c r="J750" t="str">
        <f t="shared" si="35"/>
        <v>Q3</v>
      </c>
      <c r="K750" t="str">
        <f>TEXT(checking_account_main[[#This Row],[Date]],"mmm-yyyy")</f>
        <v>Sep-2023</v>
      </c>
      <c r="L750">
        <f>_xlfn.XLOOKUP(checking_account_main[[#This Row],[Month_Year]],checking_account_main[Month_Year],checking_account_main[Balance],"",0,-1)</f>
        <v>473445</v>
      </c>
    </row>
    <row r="751" spans="1:12" x14ac:dyDescent="0.3">
      <c r="A751" s="1">
        <v>45190</v>
      </c>
      <c r="B751" t="s">
        <v>767</v>
      </c>
      <c r="C751" t="s">
        <v>8</v>
      </c>
      <c r="D751" t="s">
        <v>9</v>
      </c>
      <c r="E751" t="s">
        <v>10</v>
      </c>
      <c r="F751" s="3">
        <v>869</v>
      </c>
      <c r="G751">
        <v>466712</v>
      </c>
      <c r="H751">
        <f t="shared" si="33"/>
        <v>2023</v>
      </c>
      <c r="I751" t="str">
        <f t="shared" si="34"/>
        <v>September</v>
      </c>
      <c r="J751" t="str">
        <f t="shared" si="35"/>
        <v>Q3</v>
      </c>
      <c r="K751" t="str">
        <f>TEXT(checking_account_main[[#This Row],[Date]],"mmm-yyyy")</f>
        <v>Sep-2023</v>
      </c>
      <c r="L751">
        <f>_xlfn.XLOOKUP(checking_account_main[[#This Row],[Month_Year]],checking_account_main[Month_Year],checking_account_main[Balance],"",0,-1)</f>
        <v>473445</v>
      </c>
    </row>
    <row r="752" spans="1:12" x14ac:dyDescent="0.3">
      <c r="A752" s="1">
        <v>45190</v>
      </c>
      <c r="B752" t="s">
        <v>768</v>
      </c>
      <c r="C752" t="s">
        <v>22</v>
      </c>
      <c r="D752" t="s">
        <v>16</v>
      </c>
      <c r="E752" t="s">
        <v>17</v>
      </c>
      <c r="F752" s="3">
        <v>254</v>
      </c>
      <c r="G752">
        <v>466458</v>
      </c>
      <c r="H752">
        <f t="shared" si="33"/>
        <v>2023</v>
      </c>
      <c r="I752" t="str">
        <f t="shared" si="34"/>
        <v>September</v>
      </c>
      <c r="J752" t="str">
        <f t="shared" si="35"/>
        <v>Q3</v>
      </c>
      <c r="K752" t="str">
        <f>TEXT(checking_account_main[[#This Row],[Date]],"mmm-yyyy")</f>
        <v>Sep-2023</v>
      </c>
      <c r="L752">
        <f>_xlfn.XLOOKUP(checking_account_main[[#This Row],[Month_Year]],checking_account_main[Month_Year],checking_account_main[Balance],"",0,-1)</f>
        <v>473445</v>
      </c>
    </row>
    <row r="753" spans="1:12" x14ac:dyDescent="0.3">
      <c r="A753" s="1">
        <v>45191</v>
      </c>
      <c r="B753" t="s">
        <v>769</v>
      </c>
      <c r="C753" t="s">
        <v>8</v>
      </c>
      <c r="D753" t="s">
        <v>9</v>
      </c>
      <c r="E753" t="s">
        <v>10</v>
      </c>
      <c r="F753" s="3">
        <v>706</v>
      </c>
      <c r="G753">
        <v>467164</v>
      </c>
      <c r="H753">
        <f t="shared" si="33"/>
        <v>2023</v>
      </c>
      <c r="I753" t="str">
        <f t="shared" si="34"/>
        <v>September</v>
      </c>
      <c r="J753" t="str">
        <f t="shared" si="35"/>
        <v>Q3</v>
      </c>
      <c r="K753" t="str">
        <f>TEXT(checking_account_main[[#This Row],[Date]],"mmm-yyyy")</f>
        <v>Sep-2023</v>
      </c>
      <c r="L753">
        <f>_xlfn.XLOOKUP(checking_account_main[[#This Row],[Month_Year]],checking_account_main[Month_Year],checking_account_main[Balance],"",0,-1)</f>
        <v>473445</v>
      </c>
    </row>
    <row r="754" spans="1:12" x14ac:dyDescent="0.3">
      <c r="A754" s="1">
        <v>45192</v>
      </c>
      <c r="B754" t="s">
        <v>770</v>
      </c>
      <c r="C754" t="s">
        <v>8</v>
      </c>
      <c r="D754" t="s">
        <v>9</v>
      </c>
      <c r="E754" t="s">
        <v>10</v>
      </c>
      <c r="F754" s="3">
        <v>744</v>
      </c>
      <c r="G754">
        <v>467908</v>
      </c>
      <c r="H754">
        <f t="shared" si="33"/>
        <v>2023</v>
      </c>
      <c r="I754" t="str">
        <f t="shared" si="34"/>
        <v>September</v>
      </c>
      <c r="J754" t="str">
        <f t="shared" si="35"/>
        <v>Q3</v>
      </c>
      <c r="K754" t="str">
        <f>TEXT(checking_account_main[[#This Row],[Date]],"mmm-yyyy")</f>
        <v>Sep-2023</v>
      </c>
      <c r="L754">
        <f>_xlfn.XLOOKUP(checking_account_main[[#This Row],[Month_Year]],checking_account_main[Month_Year],checking_account_main[Balance],"",0,-1)</f>
        <v>473445</v>
      </c>
    </row>
    <row r="755" spans="1:12" x14ac:dyDescent="0.3">
      <c r="A755" s="1">
        <v>45193</v>
      </c>
      <c r="B755" t="s">
        <v>771</v>
      </c>
      <c r="C755" t="s">
        <v>8</v>
      </c>
      <c r="D755" t="s">
        <v>9</v>
      </c>
      <c r="E755" t="s">
        <v>10</v>
      </c>
      <c r="F755" s="3">
        <v>1198</v>
      </c>
      <c r="G755">
        <v>469106</v>
      </c>
      <c r="H755">
        <f t="shared" si="33"/>
        <v>2023</v>
      </c>
      <c r="I755" t="str">
        <f t="shared" si="34"/>
        <v>September</v>
      </c>
      <c r="J755" t="str">
        <f t="shared" si="35"/>
        <v>Q3</v>
      </c>
      <c r="K755" t="str">
        <f>TEXT(checking_account_main[[#This Row],[Date]],"mmm-yyyy")</f>
        <v>Sep-2023</v>
      </c>
      <c r="L755">
        <f>_xlfn.XLOOKUP(checking_account_main[[#This Row],[Month_Year]],checking_account_main[Month_Year],checking_account_main[Balance],"",0,-1)</f>
        <v>473445</v>
      </c>
    </row>
    <row r="756" spans="1:12" x14ac:dyDescent="0.3">
      <c r="A756" s="1">
        <v>45194</v>
      </c>
      <c r="B756" t="s">
        <v>772</v>
      </c>
      <c r="C756" t="s">
        <v>8</v>
      </c>
      <c r="D756" t="s">
        <v>9</v>
      </c>
      <c r="E756" t="s">
        <v>10</v>
      </c>
      <c r="F756" s="3">
        <v>1125</v>
      </c>
      <c r="G756">
        <v>470231</v>
      </c>
      <c r="H756">
        <f t="shared" si="33"/>
        <v>2023</v>
      </c>
      <c r="I756" t="str">
        <f t="shared" si="34"/>
        <v>September</v>
      </c>
      <c r="J756" t="str">
        <f t="shared" si="35"/>
        <v>Q3</v>
      </c>
      <c r="K756" t="str">
        <f>TEXT(checking_account_main[[#This Row],[Date]],"mmm-yyyy")</f>
        <v>Sep-2023</v>
      </c>
      <c r="L756">
        <f>_xlfn.XLOOKUP(checking_account_main[[#This Row],[Month_Year]],checking_account_main[Month_Year],checking_account_main[Balance],"",0,-1)</f>
        <v>473445</v>
      </c>
    </row>
    <row r="757" spans="1:12" x14ac:dyDescent="0.3">
      <c r="A757" s="1">
        <v>45194</v>
      </c>
      <c r="B757" t="s">
        <v>773</v>
      </c>
      <c r="C757" t="s">
        <v>74</v>
      </c>
      <c r="D757" t="s">
        <v>16</v>
      </c>
      <c r="E757" t="s">
        <v>17</v>
      </c>
      <c r="F757" s="3">
        <v>462</v>
      </c>
      <c r="G757">
        <v>469769</v>
      </c>
      <c r="H757">
        <f t="shared" si="33"/>
        <v>2023</v>
      </c>
      <c r="I757" t="str">
        <f t="shared" si="34"/>
        <v>September</v>
      </c>
      <c r="J757" t="str">
        <f t="shared" si="35"/>
        <v>Q3</v>
      </c>
      <c r="K757" t="str">
        <f>TEXT(checking_account_main[[#This Row],[Date]],"mmm-yyyy")</f>
        <v>Sep-2023</v>
      </c>
      <c r="L757">
        <f>_xlfn.XLOOKUP(checking_account_main[[#This Row],[Month_Year]],checking_account_main[Month_Year],checking_account_main[Balance],"",0,-1)</f>
        <v>473445</v>
      </c>
    </row>
    <row r="758" spans="1:12" x14ac:dyDescent="0.3">
      <c r="A758" s="1">
        <v>45195</v>
      </c>
      <c r="B758" t="s">
        <v>774</v>
      </c>
      <c r="C758" t="s">
        <v>8</v>
      </c>
      <c r="D758" t="s">
        <v>9</v>
      </c>
      <c r="E758" t="s">
        <v>10</v>
      </c>
      <c r="F758" s="3">
        <v>857</v>
      </c>
      <c r="G758">
        <v>470626</v>
      </c>
      <c r="H758">
        <f t="shared" si="33"/>
        <v>2023</v>
      </c>
      <c r="I758" t="str">
        <f t="shared" si="34"/>
        <v>September</v>
      </c>
      <c r="J758" t="str">
        <f t="shared" si="35"/>
        <v>Q3</v>
      </c>
      <c r="K758" t="str">
        <f>TEXT(checking_account_main[[#This Row],[Date]],"mmm-yyyy")</f>
        <v>Sep-2023</v>
      </c>
      <c r="L758">
        <f>_xlfn.XLOOKUP(checking_account_main[[#This Row],[Month_Year]],checking_account_main[Month_Year],checking_account_main[Balance],"",0,-1)</f>
        <v>473445</v>
      </c>
    </row>
    <row r="759" spans="1:12" x14ac:dyDescent="0.3">
      <c r="A759" s="1">
        <v>45196</v>
      </c>
      <c r="B759" t="s">
        <v>775</v>
      </c>
      <c r="C759" t="s">
        <v>8</v>
      </c>
      <c r="D759" t="s">
        <v>9</v>
      </c>
      <c r="E759" t="s">
        <v>10</v>
      </c>
      <c r="F759" s="3">
        <v>781</v>
      </c>
      <c r="G759">
        <v>471407</v>
      </c>
      <c r="H759">
        <f t="shared" si="33"/>
        <v>2023</v>
      </c>
      <c r="I759" t="str">
        <f t="shared" si="34"/>
        <v>September</v>
      </c>
      <c r="J759" t="str">
        <f t="shared" si="35"/>
        <v>Q3</v>
      </c>
      <c r="K759" t="str">
        <f>TEXT(checking_account_main[[#This Row],[Date]],"mmm-yyyy")</f>
        <v>Sep-2023</v>
      </c>
      <c r="L759">
        <f>_xlfn.XLOOKUP(checking_account_main[[#This Row],[Month_Year]],checking_account_main[Month_Year],checking_account_main[Balance],"",0,-1)</f>
        <v>473445</v>
      </c>
    </row>
    <row r="760" spans="1:12" x14ac:dyDescent="0.3">
      <c r="A760" s="1">
        <v>45197</v>
      </c>
      <c r="B760" t="s">
        <v>776</v>
      </c>
      <c r="C760" t="s">
        <v>8</v>
      </c>
      <c r="D760" t="s">
        <v>9</v>
      </c>
      <c r="E760" t="s">
        <v>10</v>
      </c>
      <c r="F760" s="3">
        <v>905</v>
      </c>
      <c r="G760">
        <v>472312</v>
      </c>
      <c r="H760">
        <f t="shared" si="33"/>
        <v>2023</v>
      </c>
      <c r="I760" t="str">
        <f t="shared" si="34"/>
        <v>September</v>
      </c>
      <c r="J760" t="str">
        <f t="shared" si="35"/>
        <v>Q3</v>
      </c>
      <c r="K760" t="str">
        <f>TEXT(checking_account_main[[#This Row],[Date]],"mmm-yyyy")</f>
        <v>Sep-2023</v>
      </c>
      <c r="L760">
        <f>_xlfn.XLOOKUP(checking_account_main[[#This Row],[Month_Year]],checking_account_main[Month_Year],checking_account_main[Balance],"",0,-1)</f>
        <v>473445</v>
      </c>
    </row>
    <row r="761" spans="1:12" x14ac:dyDescent="0.3">
      <c r="A761" s="1">
        <v>45198</v>
      </c>
      <c r="B761" t="s">
        <v>777</v>
      </c>
      <c r="C761" t="s">
        <v>8</v>
      </c>
      <c r="D761" t="s">
        <v>9</v>
      </c>
      <c r="E761" t="s">
        <v>10</v>
      </c>
      <c r="F761" s="3">
        <v>711</v>
      </c>
      <c r="G761">
        <v>473023</v>
      </c>
      <c r="H761">
        <f t="shared" si="33"/>
        <v>2023</v>
      </c>
      <c r="I761" t="str">
        <f t="shared" si="34"/>
        <v>September</v>
      </c>
      <c r="J761" t="str">
        <f t="shared" si="35"/>
        <v>Q3</v>
      </c>
      <c r="K761" t="str">
        <f>TEXT(checking_account_main[[#This Row],[Date]],"mmm-yyyy")</f>
        <v>Sep-2023</v>
      </c>
      <c r="L761">
        <f>_xlfn.XLOOKUP(checking_account_main[[#This Row],[Month_Year]],checking_account_main[Month_Year],checking_account_main[Balance],"",0,-1)</f>
        <v>473445</v>
      </c>
    </row>
    <row r="762" spans="1:12" x14ac:dyDescent="0.3">
      <c r="A762" s="1">
        <v>45198</v>
      </c>
      <c r="B762" t="s">
        <v>778</v>
      </c>
      <c r="C762" t="s">
        <v>74</v>
      </c>
      <c r="D762" t="s">
        <v>16</v>
      </c>
      <c r="E762" t="s">
        <v>17</v>
      </c>
      <c r="F762" s="3">
        <v>323</v>
      </c>
      <c r="G762">
        <v>472700</v>
      </c>
      <c r="H762">
        <f t="shared" si="33"/>
        <v>2023</v>
      </c>
      <c r="I762" t="str">
        <f t="shared" si="34"/>
        <v>September</v>
      </c>
      <c r="J762" t="str">
        <f t="shared" si="35"/>
        <v>Q3</v>
      </c>
      <c r="K762" t="str">
        <f>TEXT(checking_account_main[[#This Row],[Date]],"mmm-yyyy")</f>
        <v>Sep-2023</v>
      </c>
      <c r="L762">
        <f>_xlfn.XLOOKUP(checking_account_main[[#This Row],[Month_Year]],checking_account_main[Month_Year],checking_account_main[Balance],"",0,-1)</f>
        <v>473445</v>
      </c>
    </row>
    <row r="763" spans="1:12" x14ac:dyDescent="0.3">
      <c r="A763" s="1">
        <v>45199</v>
      </c>
      <c r="B763" t="s">
        <v>779</v>
      </c>
      <c r="C763" t="s">
        <v>8</v>
      </c>
      <c r="D763" t="s">
        <v>9</v>
      </c>
      <c r="E763" t="s">
        <v>10</v>
      </c>
      <c r="F763" s="3">
        <v>745</v>
      </c>
      <c r="G763">
        <v>473445</v>
      </c>
      <c r="H763">
        <f t="shared" si="33"/>
        <v>2023</v>
      </c>
      <c r="I763" t="str">
        <f t="shared" si="34"/>
        <v>September</v>
      </c>
      <c r="J763" t="str">
        <f t="shared" si="35"/>
        <v>Q3</v>
      </c>
      <c r="K763" t="str">
        <f>TEXT(checking_account_main[[#This Row],[Date]],"mmm-yyyy")</f>
        <v>Sep-2023</v>
      </c>
      <c r="L763">
        <f>_xlfn.XLOOKUP(checking_account_main[[#This Row],[Month_Year]],checking_account_main[Month_Year],checking_account_main[Balance],"",0,-1)</f>
        <v>473445</v>
      </c>
    </row>
    <row r="764" spans="1:12" x14ac:dyDescent="0.3">
      <c r="A764" s="1">
        <v>45200</v>
      </c>
      <c r="B764" t="s">
        <v>780</v>
      </c>
      <c r="C764" t="s">
        <v>8</v>
      </c>
      <c r="D764" t="s">
        <v>9</v>
      </c>
      <c r="E764" t="s">
        <v>10</v>
      </c>
      <c r="F764" s="3">
        <v>932</v>
      </c>
      <c r="G764">
        <v>474377</v>
      </c>
      <c r="H764">
        <f t="shared" si="33"/>
        <v>2023</v>
      </c>
      <c r="I764" t="str">
        <f t="shared" si="34"/>
        <v>October</v>
      </c>
      <c r="J764" t="str">
        <f t="shared" si="35"/>
        <v>Q4</v>
      </c>
      <c r="K764" t="str">
        <f>TEXT(checking_account_main[[#This Row],[Date]],"mmm-yyyy")</f>
        <v>Oct-2023</v>
      </c>
      <c r="L764">
        <f>_xlfn.XLOOKUP(checking_account_main[[#This Row],[Month_Year]],checking_account_main[Month_Year],checking_account_main[Balance],"",0,-1)</f>
        <v>501086</v>
      </c>
    </row>
    <row r="765" spans="1:12" x14ac:dyDescent="0.3">
      <c r="A765" s="1">
        <v>45201</v>
      </c>
      <c r="B765" t="s">
        <v>781</v>
      </c>
      <c r="C765" t="s">
        <v>8</v>
      </c>
      <c r="D765" t="s">
        <v>9</v>
      </c>
      <c r="E765" t="s">
        <v>10</v>
      </c>
      <c r="F765" s="3">
        <v>922</v>
      </c>
      <c r="G765">
        <v>475299</v>
      </c>
      <c r="H765">
        <f t="shared" si="33"/>
        <v>2023</v>
      </c>
      <c r="I765" t="str">
        <f t="shared" si="34"/>
        <v>October</v>
      </c>
      <c r="J765" t="str">
        <f t="shared" si="35"/>
        <v>Q4</v>
      </c>
      <c r="K765" t="str">
        <f>TEXT(checking_account_main[[#This Row],[Date]],"mmm-yyyy")</f>
        <v>Oct-2023</v>
      </c>
      <c r="L765">
        <f>_xlfn.XLOOKUP(checking_account_main[[#This Row],[Month_Year]],checking_account_main[Month_Year],checking_account_main[Balance],"",0,-1)</f>
        <v>501086</v>
      </c>
    </row>
    <row r="766" spans="1:12" x14ac:dyDescent="0.3">
      <c r="A766" s="1">
        <v>45202</v>
      </c>
      <c r="B766" t="s">
        <v>782</v>
      </c>
      <c r="C766" t="s">
        <v>8</v>
      </c>
      <c r="D766" t="s">
        <v>9</v>
      </c>
      <c r="E766" t="s">
        <v>10</v>
      </c>
      <c r="F766" s="3">
        <v>1147</v>
      </c>
      <c r="G766">
        <v>476446</v>
      </c>
      <c r="H766">
        <f t="shared" si="33"/>
        <v>2023</v>
      </c>
      <c r="I766" t="str">
        <f t="shared" si="34"/>
        <v>October</v>
      </c>
      <c r="J766" t="str">
        <f t="shared" si="35"/>
        <v>Q4</v>
      </c>
      <c r="K766" t="str">
        <f>TEXT(checking_account_main[[#This Row],[Date]],"mmm-yyyy")</f>
        <v>Oct-2023</v>
      </c>
      <c r="L766">
        <f>_xlfn.XLOOKUP(checking_account_main[[#This Row],[Month_Year]],checking_account_main[Month_Year],checking_account_main[Balance],"",0,-1)</f>
        <v>501086</v>
      </c>
    </row>
    <row r="767" spans="1:12" x14ac:dyDescent="0.3">
      <c r="A767" s="1">
        <v>45203</v>
      </c>
      <c r="B767" t="s">
        <v>783</v>
      </c>
      <c r="C767" t="s">
        <v>8</v>
      </c>
      <c r="D767" t="s">
        <v>9</v>
      </c>
      <c r="E767" t="s">
        <v>10</v>
      </c>
      <c r="F767" s="3">
        <v>862</v>
      </c>
      <c r="G767">
        <v>477308</v>
      </c>
      <c r="H767">
        <f t="shared" si="33"/>
        <v>2023</v>
      </c>
      <c r="I767" t="str">
        <f t="shared" si="34"/>
        <v>October</v>
      </c>
      <c r="J767" t="str">
        <f t="shared" si="35"/>
        <v>Q4</v>
      </c>
      <c r="K767" t="str">
        <f>TEXT(checking_account_main[[#This Row],[Date]],"mmm-yyyy")</f>
        <v>Oct-2023</v>
      </c>
      <c r="L767">
        <f>_xlfn.XLOOKUP(checking_account_main[[#This Row],[Month_Year]],checking_account_main[Month_Year],checking_account_main[Balance],"",0,-1)</f>
        <v>501086</v>
      </c>
    </row>
    <row r="768" spans="1:12" x14ac:dyDescent="0.3">
      <c r="A768" s="1">
        <v>45203</v>
      </c>
      <c r="B768" t="s">
        <v>784</v>
      </c>
      <c r="C768" t="s">
        <v>28</v>
      </c>
      <c r="D768" t="s">
        <v>29</v>
      </c>
      <c r="E768" t="s">
        <v>17</v>
      </c>
      <c r="F768" s="3">
        <v>173</v>
      </c>
      <c r="G768">
        <v>477135</v>
      </c>
      <c r="H768">
        <f t="shared" si="33"/>
        <v>2023</v>
      </c>
      <c r="I768" t="str">
        <f t="shared" si="34"/>
        <v>October</v>
      </c>
      <c r="J768" t="str">
        <f t="shared" si="35"/>
        <v>Q4</v>
      </c>
      <c r="K768" t="str">
        <f>TEXT(checking_account_main[[#This Row],[Date]],"mmm-yyyy")</f>
        <v>Oct-2023</v>
      </c>
      <c r="L768">
        <f>_xlfn.XLOOKUP(checking_account_main[[#This Row],[Month_Year]],checking_account_main[Month_Year],checking_account_main[Balance],"",0,-1)</f>
        <v>501086</v>
      </c>
    </row>
    <row r="769" spans="1:12" x14ac:dyDescent="0.3">
      <c r="A769" s="1">
        <v>45204</v>
      </c>
      <c r="B769" t="s">
        <v>785</v>
      </c>
      <c r="C769" t="s">
        <v>8</v>
      </c>
      <c r="D769" t="s">
        <v>9</v>
      </c>
      <c r="E769" t="s">
        <v>10</v>
      </c>
      <c r="F769" s="3">
        <v>923</v>
      </c>
      <c r="G769">
        <v>478058</v>
      </c>
      <c r="H769">
        <f t="shared" si="33"/>
        <v>2023</v>
      </c>
      <c r="I769" t="str">
        <f t="shared" si="34"/>
        <v>October</v>
      </c>
      <c r="J769" t="str">
        <f t="shared" si="35"/>
        <v>Q4</v>
      </c>
      <c r="K769" t="str">
        <f>TEXT(checking_account_main[[#This Row],[Date]],"mmm-yyyy")</f>
        <v>Oct-2023</v>
      </c>
      <c r="L769">
        <f>_xlfn.XLOOKUP(checking_account_main[[#This Row],[Month_Year]],checking_account_main[Month_Year],checking_account_main[Balance],"",0,-1)</f>
        <v>501086</v>
      </c>
    </row>
    <row r="770" spans="1:12" x14ac:dyDescent="0.3">
      <c r="A770" s="1">
        <v>45205</v>
      </c>
      <c r="B770" t="s">
        <v>786</v>
      </c>
      <c r="C770" t="s">
        <v>8</v>
      </c>
      <c r="D770" t="s">
        <v>9</v>
      </c>
      <c r="E770" t="s">
        <v>10</v>
      </c>
      <c r="F770" s="3">
        <v>1111</v>
      </c>
      <c r="G770">
        <v>479169</v>
      </c>
      <c r="H770">
        <f t="shared" ref="H770:H833" si="36">YEAR(A770)</f>
        <v>2023</v>
      </c>
      <c r="I770" t="str">
        <f t="shared" ref="I770:I833" si="37">TEXT(A770,"mmmm")</f>
        <v>October</v>
      </c>
      <c r="J770" t="str">
        <f t="shared" ref="J770:J833" si="38">"Q"&amp;ROUNDUP(MONTH(A770)/3,0)</f>
        <v>Q4</v>
      </c>
      <c r="K770" t="str">
        <f>TEXT(checking_account_main[[#This Row],[Date]],"mmm-yyyy")</f>
        <v>Oct-2023</v>
      </c>
      <c r="L770">
        <f>_xlfn.XLOOKUP(checking_account_main[[#This Row],[Month_Year]],checking_account_main[Month_Year],checking_account_main[Balance],"",0,-1)</f>
        <v>501086</v>
      </c>
    </row>
    <row r="771" spans="1:12" x14ac:dyDescent="0.3">
      <c r="A771" s="1">
        <v>45206</v>
      </c>
      <c r="B771" t="s">
        <v>787</v>
      </c>
      <c r="C771" t="s">
        <v>8</v>
      </c>
      <c r="D771" t="s">
        <v>9</v>
      </c>
      <c r="E771" t="s">
        <v>10</v>
      </c>
      <c r="F771" s="3">
        <v>921</v>
      </c>
      <c r="G771">
        <v>480090</v>
      </c>
      <c r="H771">
        <f t="shared" si="36"/>
        <v>2023</v>
      </c>
      <c r="I771" t="str">
        <f t="shared" si="37"/>
        <v>October</v>
      </c>
      <c r="J771" t="str">
        <f t="shared" si="38"/>
        <v>Q4</v>
      </c>
      <c r="K771" t="str">
        <f>TEXT(checking_account_main[[#This Row],[Date]],"mmm-yyyy")</f>
        <v>Oct-2023</v>
      </c>
      <c r="L771">
        <f>_xlfn.XLOOKUP(checking_account_main[[#This Row],[Month_Year]],checking_account_main[Month_Year],checking_account_main[Balance],"",0,-1)</f>
        <v>501086</v>
      </c>
    </row>
    <row r="772" spans="1:12" x14ac:dyDescent="0.3">
      <c r="A772" s="1">
        <v>45207</v>
      </c>
      <c r="B772" t="s">
        <v>788</v>
      </c>
      <c r="C772" t="s">
        <v>8</v>
      </c>
      <c r="D772" t="s">
        <v>9</v>
      </c>
      <c r="E772" t="s">
        <v>10</v>
      </c>
      <c r="F772" s="3">
        <v>977</v>
      </c>
      <c r="G772">
        <v>481067</v>
      </c>
      <c r="H772">
        <f t="shared" si="36"/>
        <v>2023</v>
      </c>
      <c r="I772" t="str">
        <f t="shared" si="37"/>
        <v>October</v>
      </c>
      <c r="J772" t="str">
        <f t="shared" si="38"/>
        <v>Q4</v>
      </c>
      <c r="K772" t="str">
        <f>TEXT(checking_account_main[[#This Row],[Date]],"mmm-yyyy")</f>
        <v>Oct-2023</v>
      </c>
      <c r="L772">
        <f>_xlfn.XLOOKUP(checking_account_main[[#This Row],[Month_Year]],checking_account_main[Month_Year],checking_account_main[Balance],"",0,-1)</f>
        <v>501086</v>
      </c>
    </row>
    <row r="773" spans="1:12" x14ac:dyDescent="0.3">
      <c r="A773" s="1">
        <v>45208</v>
      </c>
      <c r="B773" t="s">
        <v>789</v>
      </c>
      <c r="C773" t="s">
        <v>8</v>
      </c>
      <c r="D773" t="s">
        <v>9</v>
      </c>
      <c r="E773" t="s">
        <v>10</v>
      </c>
      <c r="F773" s="3">
        <v>1051</v>
      </c>
      <c r="G773">
        <v>482118</v>
      </c>
      <c r="H773">
        <f t="shared" si="36"/>
        <v>2023</v>
      </c>
      <c r="I773" t="str">
        <f t="shared" si="37"/>
        <v>October</v>
      </c>
      <c r="J773" t="str">
        <f t="shared" si="38"/>
        <v>Q4</v>
      </c>
      <c r="K773" t="str">
        <f>TEXT(checking_account_main[[#This Row],[Date]],"mmm-yyyy")</f>
        <v>Oct-2023</v>
      </c>
      <c r="L773">
        <f>_xlfn.XLOOKUP(checking_account_main[[#This Row],[Month_Year]],checking_account_main[Month_Year],checking_account_main[Balance],"",0,-1)</f>
        <v>501086</v>
      </c>
    </row>
    <row r="774" spans="1:12" x14ac:dyDescent="0.3">
      <c r="A774" s="1">
        <v>45209</v>
      </c>
      <c r="B774" t="s">
        <v>790</v>
      </c>
      <c r="C774" t="s">
        <v>8</v>
      </c>
      <c r="D774" t="s">
        <v>9</v>
      </c>
      <c r="E774" t="s">
        <v>10</v>
      </c>
      <c r="F774" s="3">
        <v>1023</v>
      </c>
      <c r="G774">
        <v>483141</v>
      </c>
      <c r="H774">
        <f t="shared" si="36"/>
        <v>2023</v>
      </c>
      <c r="I774" t="str">
        <f t="shared" si="37"/>
        <v>October</v>
      </c>
      <c r="J774" t="str">
        <f t="shared" si="38"/>
        <v>Q4</v>
      </c>
      <c r="K774" t="str">
        <f>TEXT(checking_account_main[[#This Row],[Date]],"mmm-yyyy")</f>
        <v>Oct-2023</v>
      </c>
      <c r="L774">
        <f>_xlfn.XLOOKUP(checking_account_main[[#This Row],[Month_Year]],checking_account_main[Month_Year],checking_account_main[Balance],"",0,-1)</f>
        <v>501086</v>
      </c>
    </row>
    <row r="775" spans="1:12" x14ac:dyDescent="0.3">
      <c r="A775" s="1">
        <v>45210</v>
      </c>
      <c r="B775" t="s">
        <v>791</v>
      </c>
      <c r="C775" t="s">
        <v>8</v>
      </c>
      <c r="D775" t="s">
        <v>9</v>
      </c>
      <c r="E775" t="s">
        <v>10</v>
      </c>
      <c r="F775" s="3">
        <v>716</v>
      </c>
      <c r="G775">
        <v>483857</v>
      </c>
      <c r="H775">
        <f t="shared" si="36"/>
        <v>2023</v>
      </c>
      <c r="I775" t="str">
        <f t="shared" si="37"/>
        <v>October</v>
      </c>
      <c r="J775" t="str">
        <f t="shared" si="38"/>
        <v>Q4</v>
      </c>
      <c r="K775" t="str">
        <f>TEXT(checking_account_main[[#This Row],[Date]],"mmm-yyyy")</f>
        <v>Oct-2023</v>
      </c>
      <c r="L775">
        <f>_xlfn.XLOOKUP(checking_account_main[[#This Row],[Month_Year]],checking_account_main[Month_Year],checking_account_main[Balance],"",0,-1)</f>
        <v>501086</v>
      </c>
    </row>
    <row r="776" spans="1:12" x14ac:dyDescent="0.3">
      <c r="A776" s="1">
        <v>45211</v>
      </c>
      <c r="B776" t="s">
        <v>792</v>
      </c>
      <c r="C776" t="s">
        <v>8</v>
      </c>
      <c r="D776" t="s">
        <v>9</v>
      </c>
      <c r="E776" t="s">
        <v>10</v>
      </c>
      <c r="F776" s="3">
        <v>1100</v>
      </c>
      <c r="G776">
        <v>484957</v>
      </c>
      <c r="H776">
        <f t="shared" si="36"/>
        <v>2023</v>
      </c>
      <c r="I776" t="str">
        <f t="shared" si="37"/>
        <v>October</v>
      </c>
      <c r="J776" t="str">
        <f t="shared" si="38"/>
        <v>Q4</v>
      </c>
      <c r="K776" t="str">
        <f>TEXT(checking_account_main[[#This Row],[Date]],"mmm-yyyy")</f>
        <v>Oct-2023</v>
      </c>
      <c r="L776">
        <f>_xlfn.XLOOKUP(checking_account_main[[#This Row],[Month_Year]],checking_account_main[Month_Year],checking_account_main[Balance],"",0,-1)</f>
        <v>501086</v>
      </c>
    </row>
    <row r="777" spans="1:12" x14ac:dyDescent="0.3">
      <c r="A777" s="1">
        <v>45212</v>
      </c>
      <c r="B777" t="s">
        <v>793</v>
      </c>
      <c r="C777" t="s">
        <v>8</v>
      </c>
      <c r="D777" t="s">
        <v>9</v>
      </c>
      <c r="E777" t="s">
        <v>10</v>
      </c>
      <c r="F777" s="3">
        <v>892</v>
      </c>
      <c r="G777">
        <v>485849</v>
      </c>
      <c r="H777">
        <f t="shared" si="36"/>
        <v>2023</v>
      </c>
      <c r="I777" t="str">
        <f t="shared" si="37"/>
        <v>October</v>
      </c>
      <c r="J777" t="str">
        <f t="shared" si="38"/>
        <v>Q4</v>
      </c>
      <c r="K777" t="str">
        <f>TEXT(checking_account_main[[#This Row],[Date]],"mmm-yyyy")</f>
        <v>Oct-2023</v>
      </c>
      <c r="L777">
        <f>_xlfn.XLOOKUP(checking_account_main[[#This Row],[Month_Year]],checking_account_main[Month_Year],checking_account_main[Balance],"",0,-1)</f>
        <v>501086</v>
      </c>
    </row>
    <row r="778" spans="1:12" x14ac:dyDescent="0.3">
      <c r="A778" s="1">
        <v>45212</v>
      </c>
      <c r="B778" t="s">
        <v>794</v>
      </c>
      <c r="C778" t="s">
        <v>15</v>
      </c>
      <c r="D778" t="s">
        <v>16</v>
      </c>
      <c r="E778" t="s">
        <v>17</v>
      </c>
      <c r="F778" s="3">
        <v>219</v>
      </c>
      <c r="G778">
        <v>485630</v>
      </c>
      <c r="H778">
        <f t="shared" si="36"/>
        <v>2023</v>
      </c>
      <c r="I778" t="str">
        <f t="shared" si="37"/>
        <v>October</v>
      </c>
      <c r="J778" t="str">
        <f t="shared" si="38"/>
        <v>Q4</v>
      </c>
      <c r="K778" t="str">
        <f>TEXT(checking_account_main[[#This Row],[Date]],"mmm-yyyy")</f>
        <v>Oct-2023</v>
      </c>
      <c r="L778">
        <f>_xlfn.XLOOKUP(checking_account_main[[#This Row],[Month_Year]],checking_account_main[Month_Year],checking_account_main[Balance],"",0,-1)</f>
        <v>501086</v>
      </c>
    </row>
    <row r="779" spans="1:12" x14ac:dyDescent="0.3">
      <c r="A779" s="1">
        <v>45213</v>
      </c>
      <c r="B779" t="s">
        <v>795</v>
      </c>
      <c r="C779" t="s">
        <v>8</v>
      </c>
      <c r="D779" t="s">
        <v>9</v>
      </c>
      <c r="E779" t="s">
        <v>10</v>
      </c>
      <c r="F779" s="3">
        <v>909</v>
      </c>
      <c r="G779">
        <v>486539</v>
      </c>
      <c r="H779">
        <f t="shared" si="36"/>
        <v>2023</v>
      </c>
      <c r="I779" t="str">
        <f t="shared" si="37"/>
        <v>October</v>
      </c>
      <c r="J779" t="str">
        <f t="shared" si="38"/>
        <v>Q4</v>
      </c>
      <c r="K779" t="str">
        <f>TEXT(checking_account_main[[#This Row],[Date]],"mmm-yyyy")</f>
        <v>Oct-2023</v>
      </c>
      <c r="L779">
        <f>_xlfn.XLOOKUP(checking_account_main[[#This Row],[Month_Year]],checking_account_main[Month_Year],checking_account_main[Balance],"",0,-1)</f>
        <v>501086</v>
      </c>
    </row>
    <row r="780" spans="1:12" x14ac:dyDescent="0.3">
      <c r="A780" s="1">
        <v>45214</v>
      </c>
      <c r="B780" t="s">
        <v>796</v>
      </c>
      <c r="C780" t="s">
        <v>8</v>
      </c>
      <c r="D780" t="s">
        <v>9</v>
      </c>
      <c r="E780" t="s">
        <v>10</v>
      </c>
      <c r="F780" s="3">
        <v>891</v>
      </c>
      <c r="G780">
        <v>487430</v>
      </c>
      <c r="H780">
        <f t="shared" si="36"/>
        <v>2023</v>
      </c>
      <c r="I780" t="str">
        <f t="shared" si="37"/>
        <v>October</v>
      </c>
      <c r="J780" t="str">
        <f t="shared" si="38"/>
        <v>Q4</v>
      </c>
      <c r="K780" t="str">
        <f>TEXT(checking_account_main[[#This Row],[Date]],"mmm-yyyy")</f>
        <v>Oct-2023</v>
      </c>
      <c r="L780">
        <f>_xlfn.XLOOKUP(checking_account_main[[#This Row],[Month_Year]],checking_account_main[Month_Year],checking_account_main[Balance],"",0,-1)</f>
        <v>501086</v>
      </c>
    </row>
    <row r="781" spans="1:12" x14ac:dyDescent="0.3">
      <c r="A781" s="1">
        <v>45215</v>
      </c>
      <c r="B781" t="s">
        <v>797</v>
      </c>
      <c r="C781" t="s">
        <v>8</v>
      </c>
      <c r="D781" t="s">
        <v>9</v>
      </c>
      <c r="E781" t="s">
        <v>10</v>
      </c>
      <c r="F781" s="3">
        <v>903</v>
      </c>
      <c r="G781">
        <v>488333</v>
      </c>
      <c r="H781">
        <f t="shared" si="36"/>
        <v>2023</v>
      </c>
      <c r="I781" t="str">
        <f t="shared" si="37"/>
        <v>October</v>
      </c>
      <c r="J781" t="str">
        <f t="shared" si="38"/>
        <v>Q4</v>
      </c>
      <c r="K781" t="str">
        <f>TEXT(checking_account_main[[#This Row],[Date]],"mmm-yyyy")</f>
        <v>Oct-2023</v>
      </c>
      <c r="L781">
        <f>_xlfn.XLOOKUP(checking_account_main[[#This Row],[Month_Year]],checking_account_main[Month_Year],checking_account_main[Balance],"",0,-1)</f>
        <v>501086</v>
      </c>
    </row>
    <row r="782" spans="1:12" x14ac:dyDescent="0.3">
      <c r="A782" s="1">
        <v>45216</v>
      </c>
      <c r="B782" t="s">
        <v>798</v>
      </c>
      <c r="C782" t="s">
        <v>8</v>
      </c>
      <c r="D782" t="s">
        <v>9</v>
      </c>
      <c r="E782" t="s">
        <v>10</v>
      </c>
      <c r="F782" s="3">
        <v>926</v>
      </c>
      <c r="G782">
        <v>489259</v>
      </c>
      <c r="H782">
        <f t="shared" si="36"/>
        <v>2023</v>
      </c>
      <c r="I782" t="str">
        <f t="shared" si="37"/>
        <v>October</v>
      </c>
      <c r="J782" t="str">
        <f t="shared" si="38"/>
        <v>Q4</v>
      </c>
      <c r="K782" t="str">
        <f>TEXT(checking_account_main[[#This Row],[Date]],"mmm-yyyy")</f>
        <v>Oct-2023</v>
      </c>
      <c r="L782">
        <f>_xlfn.XLOOKUP(checking_account_main[[#This Row],[Month_Year]],checking_account_main[Month_Year],checking_account_main[Balance],"",0,-1)</f>
        <v>501086</v>
      </c>
    </row>
    <row r="783" spans="1:12" x14ac:dyDescent="0.3">
      <c r="A783" s="1">
        <v>45217</v>
      </c>
      <c r="B783" t="s">
        <v>799</v>
      </c>
      <c r="C783" t="s">
        <v>8</v>
      </c>
      <c r="D783" t="s">
        <v>9</v>
      </c>
      <c r="E783" t="s">
        <v>10</v>
      </c>
      <c r="F783" s="3">
        <v>1159</v>
      </c>
      <c r="G783">
        <v>490418</v>
      </c>
      <c r="H783">
        <f t="shared" si="36"/>
        <v>2023</v>
      </c>
      <c r="I783" t="str">
        <f t="shared" si="37"/>
        <v>October</v>
      </c>
      <c r="J783" t="str">
        <f t="shared" si="38"/>
        <v>Q4</v>
      </c>
      <c r="K783" t="str">
        <f>TEXT(checking_account_main[[#This Row],[Date]],"mmm-yyyy")</f>
        <v>Oct-2023</v>
      </c>
      <c r="L783">
        <f>_xlfn.XLOOKUP(checking_account_main[[#This Row],[Month_Year]],checking_account_main[Month_Year],checking_account_main[Balance],"",0,-1)</f>
        <v>501086</v>
      </c>
    </row>
    <row r="784" spans="1:12" x14ac:dyDescent="0.3">
      <c r="A784" s="1">
        <v>45217</v>
      </c>
      <c r="B784" t="s">
        <v>800</v>
      </c>
      <c r="C784" t="s">
        <v>28</v>
      </c>
      <c r="D784" t="s">
        <v>29</v>
      </c>
      <c r="E784" t="s">
        <v>17</v>
      </c>
      <c r="F784" s="3">
        <v>494</v>
      </c>
      <c r="G784">
        <v>489924</v>
      </c>
      <c r="H784">
        <f t="shared" si="36"/>
        <v>2023</v>
      </c>
      <c r="I784" t="str">
        <f t="shared" si="37"/>
        <v>October</v>
      </c>
      <c r="J784" t="str">
        <f t="shared" si="38"/>
        <v>Q4</v>
      </c>
      <c r="K784" t="str">
        <f>TEXT(checking_account_main[[#This Row],[Date]],"mmm-yyyy")</f>
        <v>Oct-2023</v>
      </c>
      <c r="L784">
        <f>_xlfn.XLOOKUP(checking_account_main[[#This Row],[Month_Year]],checking_account_main[Month_Year],checking_account_main[Balance],"",0,-1)</f>
        <v>501086</v>
      </c>
    </row>
    <row r="785" spans="1:12" x14ac:dyDescent="0.3">
      <c r="A785" s="1">
        <v>45218</v>
      </c>
      <c r="B785" t="s">
        <v>801</v>
      </c>
      <c r="C785" t="s">
        <v>8</v>
      </c>
      <c r="D785" t="s">
        <v>9</v>
      </c>
      <c r="E785" t="s">
        <v>10</v>
      </c>
      <c r="F785" s="3">
        <v>833</v>
      </c>
      <c r="G785">
        <v>490757</v>
      </c>
      <c r="H785">
        <f t="shared" si="36"/>
        <v>2023</v>
      </c>
      <c r="I785" t="str">
        <f t="shared" si="37"/>
        <v>October</v>
      </c>
      <c r="J785" t="str">
        <f t="shared" si="38"/>
        <v>Q4</v>
      </c>
      <c r="K785" t="str">
        <f>TEXT(checking_account_main[[#This Row],[Date]],"mmm-yyyy")</f>
        <v>Oct-2023</v>
      </c>
      <c r="L785">
        <f>_xlfn.XLOOKUP(checking_account_main[[#This Row],[Month_Year]],checking_account_main[Month_Year],checking_account_main[Balance],"",0,-1)</f>
        <v>501086</v>
      </c>
    </row>
    <row r="786" spans="1:12" x14ac:dyDescent="0.3">
      <c r="A786" s="1">
        <v>45219</v>
      </c>
      <c r="B786" t="s">
        <v>802</v>
      </c>
      <c r="C786" t="s">
        <v>8</v>
      </c>
      <c r="D786" t="s">
        <v>9</v>
      </c>
      <c r="E786" t="s">
        <v>10</v>
      </c>
      <c r="F786" s="3">
        <v>1115</v>
      </c>
      <c r="G786">
        <v>491872</v>
      </c>
      <c r="H786">
        <f t="shared" si="36"/>
        <v>2023</v>
      </c>
      <c r="I786" t="str">
        <f t="shared" si="37"/>
        <v>October</v>
      </c>
      <c r="J786" t="str">
        <f t="shared" si="38"/>
        <v>Q4</v>
      </c>
      <c r="K786" t="str">
        <f>TEXT(checking_account_main[[#This Row],[Date]],"mmm-yyyy")</f>
        <v>Oct-2023</v>
      </c>
      <c r="L786">
        <f>_xlfn.XLOOKUP(checking_account_main[[#This Row],[Month_Year]],checking_account_main[Month_Year],checking_account_main[Balance],"",0,-1)</f>
        <v>501086</v>
      </c>
    </row>
    <row r="787" spans="1:12" x14ac:dyDescent="0.3">
      <c r="A787" s="1">
        <v>45220</v>
      </c>
      <c r="B787" t="s">
        <v>803</v>
      </c>
      <c r="C787" t="s">
        <v>8</v>
      </c>
      <c r="D787" t="s">
        <v>9</v>
      </c>
      <c r="E787" t="s">
        <v>10</v>
      </c>
      <c r="F787" s="3">
        <v>757</v>
      </c>
      <c r="G787">
        <v>492629</v>
      </c>
      <c r="H787">
        <f t="shared" si="36"/>
        <v>2023</v>
      </c>
      <c r="I787" t="str">
        <f t="shared" si="37"/>
        <v>October</v>
      </c>
      <c r="J787" t="str">
        <f t="shared" si="38"/>
        <v>Q4</v>
      </c>
      <c r="K787" t="str">
        <f>TEXT(checking_account_main[[#This Row],[Date]],"mmm-yyyy")</f>
        <v>Oct-2023</v>
      </c>
      <c r="L787">
        <f>_xlfn.XLOOKUP(checking_account_main[[#This Row],[Month_Year]],checking_account_main[Month_Year],checking_account_main[Balance],"",0,-1)</f>
        <v>501086</v>
      </c>
    </row>
    <row r="788" spans="1:12" x14ac:dyDescent="0.3">
      <c r="A788" s="1">
        <v>45220</v>
      </c>
      <c r="B788" t="s">
        <v>804</v>
      </c>
      <c r="C788" t="s">
        <v>74</v>
      </c>
      <c r="D788" t="s">
        <v>16</v>
      </c>
      <c r="E788" t="s">
        <v>17</v>
      </c>
      <c r="F788" s="3">
        <v>325</v>
      </c>
      <c r="G788">
        <v>492304</v>
      </c>
      <c r="H788">
        <f t="shared" si="36"/>
        <v>2023</v>
      </c>
      <c r="I788" t="str">
        <f t="shared" si="37"/>
        <v>October</v>
      </c>
      <c r="J788" t="str">
        <f t="shared" si="38"/>
        <v>Q4</v>
      </c>
      <c r="K788" t="str">
        <f>TEXT(checking_account_main[[#This Row],[Date]],"mmm-yyyy")</f>
        <v>Oct-2023</v>
      </c>
      <c r="L788">
        <f>_xlfn.XLOOKUP(checking_account_main[[#This Row],[Month_Year]],checking_account_main[Month_Year],checking_account_main[Balance],"",0,-1)</f>
        <v>501086</v>
      </c>
    </row>
    <row r="789" spans="1:12" x14ac:dyDescent="0.3">
      <c r="A789" s="1">
        <v>45221</v>
      </c>
      <c r="B789" t="s">
        <v>805</v>
      </c>
      <c r="C789" t="s">
        <v>8</v>
      </c>
      <c r="D789" t="s">
        <v>9</v>
      </c>
      <c r="E789" t="s">
        <v>10</v>
      </c>
      <c r="F789" s="3">
        <v>703</v>
      </c>
      <c r="G789">
        <v>493007</v>
      </c>
      <c r="H789">
        <f t="shared" si="36"/>
        <v>2023</v>
      </c>
      <c r="I789" t="str">
        <f t="shared" si="37"/>
        <v>October</v>
      </c>
      <c r="J789" t="str">
        <f t="shared" si="38"/>
        <v>Q4</v>
      </c>
      <c r="K789" t="str">
        <f>TEXT(checking_account_main[[#This Row],[Date]],"mmm-yyyy")</f>
        <v>Oct-2023</v>
      </c>
      <c r="L789">
        <f>_xlfn.XLOOKUP(checking_account_main[[#This Row],[Month_Year]],checking_account_main[Month_Year],checking_account_main[Balance],"",0,-1)</f>
        <v>501086</v>
      </c>
    </row>
    <row r="790" spans="1:12" x14ac:dyDescent="0.3">
      <c r="A790" s="1">
        <v>45222</v>
      </c>
      <c r="B790" t="s">
        <v>806</v>
      </c>
      <c r="C790" t="s">
        <v>8</v>
      </c>
      <c r="D790" t="s">
        <v>9</v>
      </c>
      <c r="E790" t="s">
        <v>10</v>
      </c>
      <c r="F790" s="3">
        <v>1096</v>
      </c>
      <c r="G790">
        <v>494103</v>
      </c>
      <c r="H790">
        <f t="shared" si="36"/>
        <v>2023</v>
      </c>
      <c r="I790" t="str">
        <f t="shared" si="37"/>
        <v>October</v>
      </c>
      <c r="J790" t="str">
        <f t="shared" si="38"/>
        <v>Q4</v>
      </c>
      <c r="K790" t="str">
        <f>TEXT(checking_account_main[[#This Row],[Date]],"mmm-yyyy")</f>
        <v>Oct-2023</v>
      </c>
      <c r="L790">
        <f>_xlfn.XLOOKUP(checking_account_main[[#This Row],[Month_Year]],checking_account_main[Month_Year],checking_account_main[Balance],"",0,-1)</f>
        <v>501086</v>
      </c>
    </row>
    <row r="791" spans="1:12" x14ac:dyDescent="0.3">
      <c r="A791" s="1">
        <v>45223</v>
      </c>
      <c r="B791" t="s">
        <v>807</v>
      </c>
      <c r="C791" t="s">
        <v>8</v>
      </c>
      <c r="D791" t="s">
        <v>9</v>
      </c>
      <c r="E791" t="s">
        <v>10</v>
      </c>
      <c r="F791" s="3">
        <v>970</v>
      </c>
      <c r="G791">
        <v>495073</v>
      </c>
      <c r="H791">
        <f t="shared" si="36"/>
        <v>2023</v>
      </c>
      <c r="I791" t="str">
        <f t="shared" si="37"/>
        <v>October</v>
      </c>
      <c r="J791" t="str">
        <f t="shared" si="38"/>
        <v>Q4</v>
      </c>
      <c r="K791" t="str">
        <f>TEXT(checking_account_main[[#This Row],[Date]],"mmm-yyyy")</f>
        <v>Oct-2023</v>
      </c>
      <c r="L791">
        <f>_xlfn.XLOOKUP(checking_account_main[[#This Row],[Month_Year]],checking_account_main[Month_Year],checking_account_main[Balance],"",0,-1)</f>
        <v>501086</v>
      </c>
    </row>
    <row r="792" spans="1:12" x14ac:dyDescent="0.3">
      <c r="A792" s="1">
        <v>45224</v>
      </c>
      <c r="B792" t="s">
        <v>808</v>
      </c>
      <c r="C792" t="s">
        <v>8</v>
      </c>
      <c r="D792" t="s">
        <v>9</v>
      </c>
      <c r="E792" t="s">
        <v>10</v>
      </c>
      <c r="F792" s="3">
        <v>856</v>
      </c>
      <c r="G792">
        <v>495929</v>
      </c>
      <c r="H792">
        <f t="shared" si="36"/>
        <v>2023</v>
      </c>
      <c r="I792" t="str">
        <f t="shared" si="37"/>
        <v>October</v>
      </c>
      <c r="J792" t="str">
        <f t="shared" si="38"/>
        <v>Q4</v>
      </c>
      <c r="K792" t="str">
        <f>TEXT(checking_account_main[[#This Row],[Date]],"mmm-yyyy")</f>
        <v>Oct-2023</v>
      </c>
      <c r="L792">
        <f>_xlfn.XLOOKUP(checking_account_main[[#This Row],[Month_Year]],checking_account_main[Month_Year],checking_account_main[Balance],"",0,-1)</f>
        <v>501086</v>
      </c>
    </row>
    <row r="793" spans="1:12" x14ac:dyDescent="0.3">
      <c r="A793" s="1">
        <v>45225</v>
      </c>
      <c r="B793" t="s">
        <v>809</v>
      </c>
      <c r="C793" t="s">
        <v>8</v>
      </c>
      <c r="D793" t="s">
        <v>9</v>
      </c>
      <c r="E793" t="s">
        <v>10</v>
      </c>
      <c r="F793" s="3">
        <v>987</v>
      </c>
      <c r="G793">
        <v>496916</v>
      </c>
      <c r="H793">
        <f t="shared" si="36"/>
        <v>2023</v>
      </c>
      <c r="I793" t="str">
        <f t="shared" si="37"/>
        <v>October</v>
      </c>
      <c r="J793" t="str">
        <f t="shared" si="38"/>
        <v>Q4</v>
      </c>
      <c r="K793" t="str">
        <f>TEXT(checking_account_main[[#This Row],[Date]],"mmm-yyyy")</f>
        <v>Oct-2023</v>
      </c>
      <c r="L793">
        <f>_xlfn.XLOOKUP(checking_account_main[[#This Row],[Month_Year]],checking_account_main[Month_Year],checking_account_main[Balance],"",0,-1)</f>
        <v>501086</v>
      </c>
    </row>
    <row r="794" spans="1:12" x14ac:dyDescent="0.3">
      <c r="A794" s="1">
        <v>45225</v>
      </c>
      <c r="B794" t="s">
        <v>810</v>
      </c>
      <c r="C794" t="s">
        <v>15</v>
      </c>
      <c r="D794" t="s">
        <v>16</v>
      </c>
      <c r="E794" t="s">
        <v>17</v>
      </c>
      <c r="F794" s="3">
        <v>183</v>
      </c>
      <c r="G794">
        <v>496733</v>
      </c>
      <c r="H794">
        <f t="shared" si="36"/>
        <v>2023</v>
      </c>
      <c r="I794" t="str">
        <f t="shared" si="37"/>
        <v>October</v>
      </c>
      <c r="J794" t="str">
        <f t="shared" si="38"/>
        <v>Q4</v>
      </c>
      <c r="K794" t="str">
        <f>TEXT(checking_account_main[[#This Row],[Date]],"mmm-yyyy")</f>
        <v>Oct-2023</v>
      </c>
      <c r="L794">
        <f>_xlfn.XLOOKUP(checking_account_main[[#This Row],[Month_Year]],checking_account_main[Month_Year],checking_account_main[Balance],"",0,-1)</f>
        <v>501086</v>
      </c>
    </row>
    <row r="795" spans="1:12" x14ac:dyDescent="0.3">
      <c r="A795" s="1">
        <v>45226</v>
      </c>
      <c r="B795" t="s">
        <v>811</v>
      </c>
      <c r="C795" t="s">
        <v>8</v>
      </c>
      <c r="D795" t="s">
        <v>9</v>
      </c>
      <c r="E795" t="s">
        <v>10</v>
      </c>
      <c r="F795" s="3">
        <v>726</v>
      </c>
      <c r="G795">
        <v>497459</v>
      </c>
      <c r="H795">
        <f t="shared" si="36"/>
        <v>2023</v>
      </c>
      <c r="I795" t="str">
        <f t="shared" si="37"/>
        <v>October</v>
      </c>
      <c r="J795" t="str">
        <f t="shared" si="38"/>
        <v>Q4</v>
      </c>
      <c r="K795" t="str">
        <f>TEXT(checking_account_main[[#This Row],[Date]],"mmm-yyyy")</f>
        <v>Oct-2023</v>
      </c>
      <c r="L795">
        <f>_xlfn.XLOOKUP(checking_account_main[[#This Row],[Month_Year]],checking_account_main[Month_Year],checking_account_main[Balance],"",0,-1)</f>
        <v>501086</v>
      </c>
    </row>
    <row r="796" spans="1:12" x14ac:dyDescent="0.3">
      <c r="A796" s="1">
        <v>45227</v>
      </c>
      <c r="B796" t="s">
        <v>812</v>
      </c>
      <c r="C796" t="s">
        <v>8</v>
      </c>
      <c r="D796" t="s">
        <v>9</v>
      </c>
      <c r="E796" t="s">
        <v>10</v>
      </c>
      <c r="F796" s="3">
        <v>1081</v>
      </c>
      <c r="G796">
        <v>498540</v>
      </c>
      <c r="H796">
        <f t="shared" si="36"/>
        <v>2023</v>
      </c>
      <c r="I796" t="str">
        <f t="shared" si="37"/>
        <v>October</v>
      </c>
      <c r="J796" t="str">
        <f t="shared" si="38"/>
        <v>Q4</v>
      </c>
      <c r="K796" t="str">
        <f>TEXT(checking_account_main[[#This Row],[Date]],"mmm-yyyy")</f>
        <v>Oct-2023</v>
      </c>
      <c r="L796">
        <f>_xlfn.XLOOKUP(checking_account_main[[#This Row],[Month_Year]],checking_account_main[Month_Year],checking_account_main[Balance],"",0,-1)</f>
        <v>501086</v>
      </c>
    </row>
    <row r="797" spans="1:12" x14ac:dyDescent="0.3">
      <c r="A797" s="1">
        <v>45227</v>
      </c>
      <c r="B797" t="s">
        <v>813</v>
      </c>
      <c r="C797" t="s">
        <v>74</v>
      </c>
      <c r="D797" t="s">
        <v>16</v>
      </c>
      <c r="E797" t="s">
        <v>17</v>
      </c>
      <c r="F797" s="3">
        <v>191</v>
      </c>
      <c r="G797">
        <v>498349</v>
      </c>
      <c r="H797">
        <f t="shared" si="36"/>
        <v>2023</v>
      </c>
      <c r="I797" t="str">
        <f t="shared" si="37"/>
        <v>October</v>
      </c>
      <c r="J797" t="str">
        <f t="shared" si="38"/>
        <v>Q4</v>
      </c>
      <c r="K797" t="str">
        <f>TEXT(checking_account_main[[#This Row],[Date]],"mmm-yyyy")</f>
        <v>Oct-2023</v>
      </c>
      <c r="L797">
        <f>_xlfn.XLOOKUP(checking_account_main[[#This Row],[Month_Year]],checking_account_main[Month_Year],checking_account_main[Balance],"",0,-1)</f>
        <v>501086</v>
      </c>
    </row>
    <row r="798" spans="1:12" x14ac:dyDescent="0.3">
      <c r="A798" s="1">
        <v>45228</v>
      </c>
      <c r="B798" t="s">
        <v>814</v>
      </c>
      <c r="C798" t="s">
        <v>8</v>
      </c>
      <c r="D798" t="s">
        <v>9</v>
      </c>
      <c r="E798" t="s">
        <v>10</v>
      </c>
      <c r="F798" s="3">
        <v>720</v>
      </c>
      <c r="G798">
        <v>499069</v>
      </c>
      <c r="H798">
        <f t="shared" si="36"/>
        <v>2023</v>
      </c>
      <c r="I798" t="str">
        <f t="shared" si="37"/>
        <v>October</v>
      </c>
      <c r="J798" t="str">
        <f t="shared" si="38"/>
        <v>Q4</v>
      </c>
      <c r="K798" t="str">
        <f>TEXT(checking_account_main[[#This Row],[Date]],"mmm-yyyy")</f>
        <v>Oct-2023</v>
      </c>
      <c r="L798">
        <f>_xlfn.XLOOKUP(checking_account_main[[#This Row],[Month_Year]],checking_account_main[Month_Year],checking_account_main[Balance],"",0,-1)</f>
        <v>501086</v>
      </c>
    </row>
    <row r="799" spans="1:12" x14ac:dyDescent="0.3">
      <c r="A799" s="1">
        <v>45229</v>
      </c>
      <c r="B799" t="s">
        <v>815</v>
      </c>
      <c r="C799" t="s">
        <v>8</v>
      </c>
      <c r="D799" t="s">
        <v>9</v>
      </c>
      <c r="E799" t="s">
        <v>10</v>
      </c>
      <c r="F799" s="3">
        <v>1056</v>
      </c>
      <c r="G799">
        <v>500125</v>
      </c>
      <c r="H799">
        <f t="shared" si="36"/>
        <v>2023</v>
      </c>
      <c r="I799" t="str">
        <f t="shared" si="37"/>
        <v>October</v>
      </c>
      <c r="J799" t="str">
        <f t="shared" si="38"/>
        <v>Q4</v>
      </c>
      <c r="K799" t="str">
        <f>TEXT(checking_account_main[[#This Row],[Date]],"mmm-yyyy")</f>
        <v>Oct-2023</v>
      </c>
      <c r="L799">
        <f>_xlfn.XLOOKUP(checking_account_main[[#This Row],[Month_Year]],checking_account_main[Month_Year],checking_account_main[Balance],"",0,-1)</f>
        <v>501086</v>
      </c>
    </row>
    <row r="800" spans="1:12" x14ac:dyDescent="0.3">
      <c r="A800" s="1">
        <v>45230</v>
      </c>
      <c r="B800" t="s">
        <v>816</v>
      </c>
      <c r="C800" t="s">
        <v>8</v>
      </c>
      <c r="D800" t="s">
        <v>9</v>
      </c>
      <c r="E800" t="s">
        <v>10</v>
      </c>
      <c r="F800" s="3">
        <v>961</v>
      </c>
      <c r="G800">
        <v>501086</v>
      </c>
      <c r="H800">
        <f t="shared" si="36"/>
        <v>2023</v>
      </c>
      <c r="I800" t="str">
        <f t="shared" si="37"/>
        <v>October</v>
      </c>
      <c r="J800" t="str">
        <f t="shared" si="38"/>
        <v>Q4</v>
      </c>
      <c r="K800" t="str">
        <f>TEXT(checking_account_main[[#This Row],[Date]],"mmm-yyyy")</f>
        <v>Oct-2023</v>
      </c>
      <c r="L800">
        <f>_xlfn.XLOOKUP(checking_account_main[[#This Row],[Month_Year]],checking_account_main[Month_Year],checking_account_main[Balance],"",0,-1)</f>
        <v>501086</v>
      </c>
    </row>
    <row r="801" spans="1:12" x14ac:dyDescent="0.3">
      <c r="A801" s="1">
        <v>45231</v>
      </c>
      <c r="B801" t="s">
        <v>817</v>
      </c>
      <c r="C801" t="s">
        <v>8</v>
      </c>
      <c r="D801" t="s">
        <v>9</v>
      </c>
      <c r="E801" t="s">
        <v>10</v>
      </c>
      <c r="F801" s="3">
        <v>1152</v>
      </c>
      <c r="G801">
        <v>502238</v>
      </c>
      <c r="H801">
        <f t="shared" si="36"/>
        <v>2023</v>
      </c>
      <c r="I801" t="str">
        <f t="shared" si="37"/>
        <v>November</v>
      </c>
      <c r="J801" t="str">
        <f t="shared" si="38"/>
        <v>Q4</v>
      </c>
      <c r="K801" t="str">
        <f>TEXT(checking_account_main[[#This Row],[Date]],"mmm-yyyy")</f>
        <v>Nov-2023</v>
      </c>
      <c r="L801">
        <f>_xlfn.XLOOKUP(checking_account_main[[#This Row],[Month_Year]],checking_account_main[Month_Year],checking_account_main[Balance],"",0,-1)</f>
        <v>527946</v>
      </c>
    </row>
    <row r="802" spans="1:12" x14ac:dyDescent="0.3">
      <c r="A802" s="1">
        <v>45232</v>
      </c>
      <c r="B802" t="s">
        <v>818</v>
      </c>
      <c r="C802" t="s">
        <v>8</v>
      </c>
      <c r="D802" t="s">
        <v>9</v>
      </c>
      <c r="E802" t="s">
        <v>10</v>
      </c>
      <c r="F802" s="3">
        <v>956</v>
      </c>
      <c r="G802">
        <v>503194</v>
      </c>
      <c r="H802">
        <f t="shared" si="36"/>
        <v>2023</v>
      </c>
      <c r="I802" t="str">
        <f t="shared" si="37"/>
        <v>November</v>
      </c>
      <c r="J802" t="str">
        <f t="shared" si="38"/>
        <v>Q4</v>
      </c>
      <c r="K802" t="str">
        <f>TEXT(checking_account_main[[#This Row],[Date]],"mmm-yyyy")</f>
        <v>Nov-2023</v>
      </c>
      <c r="L802">
        <f>_xlfn.XLOOKUP(checking_account_main[[#This Row],[Month_Year]],checking_account_main[Month_Year],checking_account_main[Balance],"",0,-1)</f>
        <v>527946</v>
      </c>
    </row>
    <row r="803" spans="1:12" x14ac:dyDescent="0.3">
      <c r="A803" s="1">
        <v>45233</v>
      </c>
      <c r="B803" t="s">
        <v>819</v>
      </c>
      <c r="C803" t="s">
        <v>8</v>
      </c>
      <c r="D803" t="s">
        <v>9</v>
      </c>
      <c r="E803" t="s">
        <v>10</v>
      </c>
      <c r="F803" s="3">
        <v>1121</v>
      </c>
      <c r="G803">
        <v>504315</v>
      </c>
      <c r="H803">
        <f t="shared" si="36"/>
        <v>2023</v>
      </c>
      <c r="I803" t="str">
        <f t="shared" si="37"/>
        <v>November</v>
      </c>
      <c r="J803" t="str">
        <f t="shared" si="38"/>
        <v>Q4</v>
      </c>
      <c r="K803" t="str">
        <f>TEXT(checking_account_main[[#This Row],[Date]],"mmm-yyyy")</f>
        <v>Nov-2023</v>
      </c>
      <c r="L803">
        <f>_xlfn.XLOOKUP(checking_account_main[[#This Row],[Month_Year]],checking_account_main[Month_Year],checking_account_main[Balance],"",0,-1)</f>
        <v>527946</v>
      </c>
    </row>
    <row r="804" spans="1:12" x14ac:dyDescent="0.3">
      <c r="A804" s="1">
        <v>45234</v>
      </c>
      <c r="B804" t="s">
        <v>820</v>
      </c>
      <c r="C804" t="s">
        <v>8</v>
      </c>
      <c r="D804" t="s">
        <v>9</v>
      </c>
      <c r="E804" t="s">
        <v>10</v>
      </c>
      <c r="F804" s="3">
        <v>1144</v>
      </c>
      <c r="G804">
        <v>505459</v>
      </c>
      <c r="H804">
        <f t="shared" si="36"/>
        <v>2023</v>
      </c>
      <c r="I804" t="str">
        <f t="shared" si="37"/>
        <v>November</v>
      </c>
      <c r="J804" t="str">
        <f t="shared" si="38"/>
        <v>Q4</v>
      </c>
      <c r="K804" t="str">
        <f>TEXT(checking_account_main[[#This Row],[Date]],"mmm-yyyy")</f>
        <v>Nov-2023</v>
      </c>
      <c r="L804">
        <f>_xlfn.XLOOKUP(checking_account_main[[#This Row],[Month_Year]],checking_account_main[Month_Year],checking_account_main[Balance],"",0,-1)</f>
        <v>527946</v>
      </c>
    </row>
    <row r="805" spans="1:12" x14ac:dyDescent="0.3">
      <c r="A805" s="1">
        <v>45235</v>
      </c>
      <c r="B805" t="s">
        <v>821</v>
      </c>
      <c r="C805" t="s">
        <v>8</v>
      </c>
      <c r="D805" t="s">
        <v>9</v>
      </c>
      <c r="E805" t="s">
        <v>10</v>
      </c>
      <c r="F805" s="3">
        <v>1196</v>
      </c>
      <c r="G805">
        <v>506655</v>
      </c>
      <c r="H805">
        <f t="shared" si="36"/>
        <v>2023</v>
      </c>
      <c r="I805" t="str">
        <f t="shared" si="37"/>
        <v>November</v>
      </c>
      <c r="J805" t="str">
        <f t="shared" si="38"/>
        <v>Q4</v>
      </c>
      <c r="K805" t="str">
        <f>TEXT(checking_account_main[[#This Row],[Date]],"mmm-yyyy")</f>
        <v>Nov-2023</v>
      </c>
      <c r="L805">
        <f>_xlfn.XLOOKUP(checking_account_main[[#This Row],[Month_Year]],checking_account_main[Month_Year],checking_account_main[Balance],"",0,-1)</f>
        <v>527946</v>
      </c>
    </row>
    <row r="806" spans="1:12" x14ac:dyDescent="0.3">
      <c r="A806" s="1">
        <v>45236</v>
      </c>
      <c r="B806" t="s">
        <v>822</v>
      </c>
      <c r="C806" t="s">
        <v>8</v>
      </c>
      <c r="D806" t="s">
        <v>9</v>
      </c>
      <c r="E806" t="s">
        <v>10</v>
      </c>
      <c r="F806" s="3">
        <v>711</v>
      </c>
      <c r="G806">
        <v>507366</v>
      </c>
      <c r="H806">
        <f t="shared" si="36"/>
        <v>2023</v>
      </c>
      <c r="I806" t="str">
        <f t="shared" si="37"/>
        <v>November</v>
      </c>
      <c r="J806" t="str">
        <f t="shared" si="38"/>
        <v>Q4</v>
      </c>
      <c r="K806" t="str">
        <f>TEXT(checking_account_main[[#This Row],[Date]],"mmm-yyyy")</f>
        <v>Nov-2023</v>
      </c>
      <c r="L806">
        <f>_xlfn.XLOOKUP(checking_account_main[[#This Row],[Month_Year]],checking_account_main[Month_Year],checking_account_main[Balance],"",0,-1)</f>
        <v>527946</v>
      </c>
    </row>
    <row r="807" spans="1:12" x14ac:dyDescent="0.3">
      <c r="A807" s="1">
        <v>45237</v>
      </c>
      <c r="B807" t="s">
        <v>823</v>
      </c>
      <c r="C807" t="s">
        <v>8</v>
      </c>
      <c r="D807" t="s">
        <v>9</v>
      </c>
      <c r="E807" t="s">
        <v>10</v>
      </c>
      <c r="F807" s="3">
        <v>1191</v>
      </c>
      <c r="G807">
        <v>508557</v>
      </c>
      <c r="H807">
        <f t="shared" si="36"/>
        <v>2023</v>
      </c>
      <c r="I807" t="str">
        <f t="shared" si="37"/>
        <v>November</v>
      </c>
      <c r="J807" t="str">
        <f t="shared" si="38"/>
        <v>Q4</v>
      </c>
      <c r="K807" t="str">
        <f>TEXT(checking_account_main[[#This Row],[Date]],"mmm-yyyy")</f>
        <v>Nov-2023</v>
      </c>
      <c r="L807">
        <f>_xlfn.XLOOKUP(checking_account_main[[#This Row],[Month_Year]],checking_account_main[Month_Year],checking_account_main[Balance],"",0,-1)</f>
        <v>527946</v>
      </c>
    </row>
    <row r="808" spans="1:12" x14ac:dyDescent="0.3">
      <c r="A808" s="1">
        <v>45238</v>
      </c>
      <c r="B808" t="s">
        <v>824</v>
      </c>
      <c r="C808" t="s">
        <v>8</v>
      </c>
      <c r="D808" t="s">
        <v>9</v>
      </c>
      <c r="E808" t="s">
        <v>10</v>
      </c>
      <c r="F808" s="3">
        <v>771</v>
      </c>
      <c r="G808">
        <v>509328</v>
      </c>
      <c r="H808">
        <f t="shared" si="36"/>
        <v>2023</v>
      </c>
      <c r="I808" t="str">
        <f t="shared" si="37"/>
        <v>November</v>
      </c>
      <c r="J808" t="str">
        <f t="shared" si="38"/>
        <v>Q4</v>
      </c>
      <c r="K808" t="str">
        <f>TEXT(checking_account_main[[#This Row],[Date]],"mmm-yyyy")</f>
        <v>Nov-2023</v>
      </c>
      <c r="L808">
        <f>_xlfn.XLOOKUP(checking_account_main[[#This Row],[Month_Year]],checking_account_main[Month_Year],checking_account_main[Balance],"",0,-1)</f>
        <v>527946</v>
      </c>
    </row>
    <row r="809" spans="1:12" x14ac:dyDescent="0.3">
      <c r="A809" s="1">
        <v>45238</v>
      </c>
      <c r="B809" t="s">
        <v>825</v>
      </c>
      <c r="C809" t="s">
        <v>74</v>
      </c>
      <c r="D809" t="s">
        <v>16</v>
      </c>
      <c r="E809" t="s">
        <v>17</v>
      </c>
      <c r="F809" s="3">
        <v>244</v>
      </c>
      <c r="G809">
        <v>509084</v>
      </c>
      <c r="H809">
        <f t="shared" si="36"/>
        <v>2023</v>
      </c>
      <c r="I809" t="str">
        <f t="shared" si="37"/>
        <v>November</v>
      </c>
      <c r="J809" t="str">
        <f t="shared" si="38"/>
        <v>Q4</v>
      </c>
      <c r="K809" t="str">
        <f>TEXT(checking_account_main[[#This Row],[Date]],"mmm-yyyy")</f>
        <v>Nov-2023</v>
      </c>
      <c r="L809">
        <f>_xlfn.XLOOKUP(checking_account_main[[#This Row],[Month_Year]],checking_account_main[Month_Year],checking_account_main[Balance],"",0,-1)</f>
        <v>527946</v>
      </c>
    </row>
    <row r="810" spans="1:12" x14ac:dyDescent="0.3">
      <c r="A810" s="1">
        <v>45239</v>
      </c>
      <c r="B810" t="s">
        <v>826</v>
      </c>
      <c r="C810" t="s">
        <v>8</v>
      </c>
      <c r="D810" t="s">
        <v>9</v>
      </c>
      <c r="E810" t="s">
        <v>10</v>
      </c>
      <c r="F810" s="3">
        <v>1008</v>
      </c>
      <c r="G810">
        <v>510092</v>
      </c>
      <c r="H810">
        <f t="shared" si="36"/>
        <v>2023</v>
      </c>
      <c r="I810" t="str">
        <f t="shared" si="37"/>
        <v>November</v>
      </c>
      <c r="J810" t="str">
        <f t="shared" si="38"/>
        <v>Q4</v>
      </c>
      <c r="K810" t="str">
        <f>TEXT(checking_account_main[[#This Row],[Date]],"mmm-yyyy")</f>
        <v>Nov-2023</v>
      </c>
      <c r="L810">
        <f>_xlfn.XLOOKUP(checking_account_main[[#This Row],[Month_Year]],checking_account_main[Month_Year],checking_account_main[Balance],"",0,-1)</f>
        <v>527946</v>
      </c>
    </row>
    <row r="811" spans="1:12" x14ac:dyDescent="0.3">
      <c r="A811" s="1">
        <v>45239</v>
      </c>
      <c r="B811" t="s">
        <v>827</v>
      </c>
      <c r="C811" t="s">
        <v>47</v>
      </c>
      <c r="D811" t="s">
        <v>29</v>
      </c>
      <c r="E811" t="s">
        <v>17</v>
      </c>
      <c r="F811" s="3">
        <v>126</v>
      </c>
      <c r="G811">
        <v>509966</v>
      </c>
      <c r="H811">
        <f t="shared" si="36"/>
        <v>2023</v>
      </c>
      <c r="I811" t="str">
        <f t="shared" si="37"/>
        <v>November</v>
      </c>
      <c r="J811" t="str">
        <f t="shared" si="38"/>
        <v>Q4</v>
      </c>
      <c r="K811" t="str">
        <f>TEXT(checking_account_main[[#This Row],[Date]],"mmm-yyyy")</f>
        <v>Nov-2023</v>
      </c>
      <c r="L811">
        <f>_xlfn.XLOOKUP(checking_account_main[[#This Row],[Month_Year]],checking_account_main[Month_Year],checking_account_main[Balance],"",0,-1)</f>
        <v>527946</v>
      </c>
    </row>
    <row r="812" spans="1:12" x14ac:dyDescent="0.3">
      <c r="A812" s="1">
        <v>45240</v>
      </c>
      <c r="B812" t="s">
        <v>828</v>
      </c>
      <c r="C812" t="s">
        <v>8</v>
      </c>
      <c r="D812" t="s">
        <v>9</v>
      </c>
      <c r="E812" t="s">
        <v>10</v>
      </c>
      <c r="F812" s="3">
        <v>1199</v>
      </c>
      <c r="G812">
        <v>511165</v>
      </c>
      <c r="H812">
        <f t="shared" si="36"/>
        <v>2023</v>
      </c>
      <c r="I812" t="str">
        <f t="shared" si="37"/>
        <v>November</v>
      </c>
      <c r="J812" t="str">
        <f t="shared" si="38"/>
        <v>Q4</v>
      </c>
      <c r="K812" t="str">
        <f>TEXT(checking_account_main[[#This Row],[Date]],"mmm-yyyy")</f>
        <v>Nov-2023</v>
      </c>
      <c r="L812">
        <f>_xlfn.XLOOKUP(checking_account_main[[#This Row],[Month_Year]],checking_account_main[Month_Year],checking_account_main[Balance],"",0,-1)</f>
        <v>527946</v>
      </c>
    </row>
    <row r="813" spans="1:12" x14ac:dyDescent="0.3">
      <c r="A813" s="1">
        <v>45240</v>
      </c>
      <c r="B813" t="s">
        <v>829</v>
      </c>
      <c r="C813" t="s">
        <v>22</v>
      </c>
      <c r="D813" t="s">
        <v>16</v>
      </c>
      <c r="E813" t="s">
        <v>17</v>
      </c>
      <c r="F813" s="3">
        <v>448</v>
      </c>
      <c r="G813">
        <v>510717</v>
      </c>
      <c r="H813">
        <f t="shared" si="36"/>
        <v>2023</v>
      </c>
      <c r="I813" t="str">
        <f t="shared" si="37"/>
        <v>November</v>
      </c>
      <c r="J813" t="str">
        <f t="shared" si="38"/>
        <v>Q4</v>
      </c>
      <c r="K813" t="str">
        <f>TEXT(checking_account_main[[#This Row],[Date]],"mmm-yyyy")</f>
        <v>Nov-2023</v>
      </c>
      <c r="L813">
        <f>_xlfn.XLOOKUP(checking_account_main[[#This Row],[Month_Year]],checking_account_main[Month_Year],checking_account_main[Balance],"",0,-1)</f>
        <v>527946</v>
      </c>
    </row>
    <row r="814" spans="1:12" x14ac:dyDescent="0.3">
      <c r="A814" s="1">
        <v>45241</v>
      </c>
      <c r="B814" t="s">
        <v>830</v>
      </c>
      <c r="C814" t="s">
        <v>8</v>
      </c>
      <c r="D814" t="s">
        <v>9</v>
      </c>
      <c r="E814" t="s">
        <v>10</v>
      </c>
      <c r="F814" s="3">
        <v>880</v>
      </c>
      <c r="G814">
        <v>511597</v>
      </c>
      <c r="H814">
        <f t="shared" si="36"/>
        <v>2023</v>
      </c>
      <c r="I814" t="str">
        <f t="shared" si="37"/>
        <v>November</v>
      </c>
      <c r="J814" t="str">
        <f t="shared" si="38"/>
        <v>Q4</v>
      </c>
      <c r="K814" t="str">
        <f>TEXT(checking_account_main[[#This Row],[Date]],"mmm-yyyy")</f>
        <v>Nov-2023</v>
      </c>
      <c r="L814">
        <f>_xlfn.XLOOKUP(checking_account_main[[#This Row],[Month_Year]],checking_account_main[Month_Year],checking_account_main[Balance],"",0,-1)</f>
        <v>527946</v>
      </c>
    </row>
    <row r="815" spans="1:12" x14ac:dyDescent="0.3">
      <c r="A815" s="1">
        <v>45242</v>
      </c>
      <c r="B815" t="s">
        <v>831</v>
      </c>
      <c r="C815" t="s">
        <v>8</v>
      </c>
      <c r="D815" t="s">
        <v>9</v>
      </c>
      <c r="E815" t="s">
        <v>10</v>
      </c>
      <c r="F815" s="3">
        <v>1077</v>
      </c>
      <c r="G815">
        <v>512674</v>
      </c>
      <c r="H815">
        <f t="shared" si="36"/>
        <v>2023</v>
      </c>
      <c r="I815" t="str">
        <f t="shared" si="37"/>
        <v>November</v>
      </c>
      <c r="J815" t="str">
        <f t="shared" si="38"/>
        <v>Q4</v>
      </c>
      <c r="K815" t="str">
        <f>TEXT(checking_account_main[[#This Row],[Date]],"mmm-yyyy")</f>
        <v>Nov-2023</v>
      </c>
      <c r="L815">
        <f>_xlfn.XLOOKUP(checking_account_main[[#This Row],[Month_Year]],checking_account_main[Month_Year],checking_account_main[Balance],"",0,-1)</f>
        <v>527946</v>
      </c>
    </row>
    <row r="816" spans="1:12" x14ac:dyDescent="0.3">
      <c r="A816" s="1">
        <v>45243</v>
      </c>
      <c r="B816" t="s">
        <v>832</v>
      </c>
      <c r="C816" t="s">
        <v>8</v>
      </c>
      <c r="D816" t="s">
        <v>9</v>
      </c>
      <c r="E816" t="s">
        <v>10</v>
      </c>
      <c r="F816" s="3">
        <v>745</v>
      </c>
      <c r="G816">
        <v>513419</v>
      </c>
      <c r="H816">
        <f t="shared" si="36"/>
        <v>2023</v>
      </c>
      <c r="I816" t="str">
        <f t="shared" si="37"/>
        <v>November</v>
      </c>
      <c r="J816" t="str">
        <f t="shared" si="38"/>
        <v>Q4</v>
      </c>
      <c r="K816" t="str">
        <f>TEXT(checking_account_main[[#This Row],[Date]],"mmm-yyyy")</f>
        <v>Nov-2023</v>
      </c>
      <c r="L816">
        <f>_xlfn.XLOOKUP(checking_account_main[[#This Row],[Month_Year]],checking_account_main[Month_Year],checking_account_main[Balance],"",0,-1)</f>
        <v>527946</v>
      </c>
    </row>
    <row r="817" spans="1:12" x14ac:dyDescent="0.3">
      <c r="A817" s="1">
        <v>45244</v>
      </c>
      <c r="B817" t="s">
        <v>833</v>
      </c>
      <c r="C817" t="s">
        <v>8</v>
      </c>
      <c r="D817" t="s">
        <v>9</v>
      </c>
      <c r="E817" t="s">
        <v>10</v>
      </c>
      <c r="F817" s="3">
        <v>921</v>
      </c>
      <c r="G817">
        <v>514340</v>
      </c>
      <c r="H817">
        <f t="shared" si="36"/>
        <v>2023</v>
      </c>
      <c r="I817" t="str">
        <f t="shared" si="37"/>
        <v>November</v>
      </c>
      <c r="J817" t="str">
        <f t="shared" si="38"/>
        <v>Q4</v>
      </c>
      <c r="K817" t="str">
        <f>TEXT(checking_account_main[[#This Row],[Date]],"mmm-yyyy")</f>
        <v>Nov-2023</v>
      </c>
      <c r="L817">
        <f>_xlfn.XLOOKUP(checking_account_main[[#This Row],[Month_Year]],checking_account_main[Month_Year],checking_account_main[Balance],"",0,-1)</f>
        <v>527946</v>
      </c>
    </row>
    <row r="818" spans="1:12" x14ac:dyDescent="0.3">
      <c r="A818" s="1">
        <v>45244</v>
      </c>
      <c r="B818" t="s">
        <v>834</v>
      </c>
      <c r="C818" t="s">
        <v>22</v>
      </c>
      <c r="D818" t="s">
        <v>16</v>
      </c>
      <c r="E818" t="s">
        <v>17</v>
      </c>
      <c r="F818" s="3">
        <v>372</v>
      </c>
      <c r="G818">
        <v>513968</v>
      </c>
      <c r="H818">
        <f t="shared" si="36"/>
        <v>2023</v>
      </c>
      <c r="I818" t="str">
        <f t="shared" si="37"/>
        <v>November</v>
      </c>
      <c r="J818" t="str">
        <f t="shared" si="38"/>
        <v>Q4</v>
      </c>
      <c r="K818" t="str">
        <f>TEXT(checking_account_main[[#This Row],[Date]],"mmm-yyyy")</f>
        <v>Nov-2023</v>
      </c>
      <c r="L818">
        <f>_xlfn.XLOOKUP(checking_account_main[[#This Row],[Month_Year]],checking_account_main[Month_Year],checking_account_main[Balance],"",0,-1)</f>
        <v>527946</v>
      </c>
    </row>
    <row r="819" spans="1:12" x14ac:dyDescent="0.3">
      <c r="A819" s="1">
        <v>45245</v>
      </c>
      <c r="B819" t="s">
        <v>835</v>
      </c>
      <c r="C819" t="s">
        <v>8</v>
      </c>
      <c r="D819" t="s">
        <v>9</v>
      </c>
      <c r="E819" t="s">
        <v>10</v>
      </c>
      <c r="F819" s="3">
        <v>1039</v>
      </c>
      <c r="G819">
        <v>515007</v>
      </c>
      <c r="H819">
        <f t="shared" si="36"/>
        <v>2023</v>
      </c>
      <c r="I819" t="str">
        <f t="shared" si="37"/>
        <v>November</v>
      </c>
      <c r="J819" t="str">
        <f t="shared" si="38"/>
        <v>Q4</v>
      </c>
      <c r="K819" t="str">
        <f>TEXT(checking_account_main[[#This Row],[Date]],"mmm-yyyy")</f>
        <v>Nov-2023</v>
      </c>
      <c r="L819">
        <f>_xlfn.XLOOKUP(checking_account_main[[#This Row],[Month_Year]],checking_account_main[Month_Year],checking_account_main[Balance],"",0,-1)</f>
        <v>527946</v>
      </c>
    </row>
    <row r="820" spans="1:12" x14ac:dyDescent="0.3">
      <c r="A820" s="1">
        <v>45246</v>
      </c>
      <c r="B820" t="s">
        <v>836</v>
      </c>
      <c r="C820" t="s">
        <v>8</v>
      </c>
      <c r="D820" t="s">
        <v>9</v>
      </c>
      <c r="E820" t="s">
        <v>10</v>
      </c>
      <c r="F820" s="3">
        <v>865</v>
      </c>
      <c r="G820">
        <v>515872</v>
      </c>
      <c r="H820">
        <f t="shared" si="36"/>
        <v>2023</v>
      </c>
      <c r="I820" t="str">
        <f t="shared" si="37"/>
        <v>November</v>
      </c>
      <c r="J820" t="str">
        <f t="shared" si="38"/>
        <v>Q4</v>
      </c>
      <c r="K820" t="str">
        <f>TEXT(checking_account_main[[#This Row],[Date]],"mmm-yyyy")</f>
        <v>Nov-2023</v>
      </c>
      <c r="L820">
        <f>_xlfn.XLOOKUP(checking_account_main[[#This Row],[Month_Year]],checking_account_main[Month_Year],checking_account_main[Balance],"",0,-1)</f>
        <v>527946</v>
      </c>
    </row>
    <row r="821" spans="1:12" x14ac:dyDescent="0.3">
      <c r="A821" s="1">
        <v>45247</v>
      </c>
      <c r="B821" t="s">
        <v>837</v>
      </c>
      <c r="C821" t="s">
        <v>8</v>
      </c>
      <c r="D821" t="s">
        <v>9</v>
      </c>
      <c r="E821" t="s">
        <v>10</v>
      </c>
      <c r="F821" s="3">
        <v>1143</v>
      </c>
      <c r="G821">
        <v>517015</v>
      </c>
      <c r="H821">
        <f t="shared" si="36"/>
        <v>2023</v>
      </c>
      <c r="I821" t="str">
        <f t="shared" si="37"/>
        <v>November</v>
      </c>
      <c r="J821" t="str">
        <f t="shared" si="38"/>
        <v>Q4</v>
      </c>
      <c r="K821" t="str">
        <f>TEXT(checking_account_main[[#This Row],[Date]],"mmm-yyyy")</f>
        <v>Nov-2023</v>
      </c>
      <c r="L821">
        <f>_xlfn.XLOOKUP(checking_account_main[[#This Row],[Month_Year]],checking_account_main[Month_Year],checking_account_main[Balance],"",0,-1)</f>
        <v>527946</v>
      </c>
    </row>
    <row r="822" spans="1:12" x14ac:dyDescent="0.3">
      <c r="A822" s="1">
        <v>45247</v>
      </c>
      <c r="B822" t="s">
        <v>838</v>
      </c>
      <c r="C822" t="s">
        <v>47</v>
      </c>
      <c r="D822" t="s">
        <v>29</v>
      </c>
      <c r="E822" t="s">
        <v>17</v>
      </c>
      <c r="F822" s="3">
        <v>216</v>
      </c>
      <c r="G822">
        <v>516799</v>
      </c>
      <c r="H822">
        <f t="shared" si="36"/>
        <v>2023</v>
      </c>
      <c r="I822" t="str">
        <f t="shared" si="37"/>
        <v>November</v>
      </c>
      <c r="J822" t="str">
        <f t="shared" si="38"/>
        <v>Q4</v>
      </c>
      <c r="K822" t="str">
        <f>TEXT(checking_account_main[[#This Row],[Date]],"mmm-yyyy")</f>
        <v>Nov-2023</v>
      </c>
      <c r="L822">
        <f>_xlfn.XLOOKUP(checking_account_main[[#This Row],[Month_Year]],checking_account_main[Month_Year],checking_account_main[Balance],"",0,-1)</f>
        <v>527946</v>
      </c>
    </row>
    <row r="823" spans="1:12" x14ac:dyDescent="0.3">
      <c r="A823" s="1">
        <v>45248</v>
      </c>
      <c r="B823" t="s">
        <v>839</v>
      </c>
      <c r="C823" t="s">
        <v>8</v>
      </c>
      <c r="D823" t="s">
        <v>9</v>
      </c>
      <c r="E823" t="s">
        <v>10</v>
      </c>
      <c r="F823" s="3">
        <v>1043</v>
      </c>
      <c r="G823">
        <v>517842</v>
      </c>
      <c r="H823">
        <f t="shared" si="36"/>
        <v>2023</v>
      </c>
      <c r="I823" t="str">
        <f t="shared" si="37"/>
        <v>November</v>
      </c>
      <c r="J823" t="str">
        <f t="shared" si="38"/>
        <v>Q4</v>
      </c>
      <c r="K823" t="str">
        <f>TEXT(checking_account_main[[#This Row],[Date]],"mmm-yyyy")</f>
        <v>Nov-2023</v>
      </c>
      <c r="L823">
        <f>_xlfn.XLOOKUP(checking_account_main[[#This Row],[Month_Year]],checking_account_main[Month_Year],checking_account_main[Balance],"",0,-1)</f>
        <v>527946</v>
      </c>
    </row>
    <row r="824" spans="1:12" x14ac:dyDescent="0.3">
      <c r="A824" s="1">
        <v>45249</v>
      </c>
      <c r="B824" t="s">
        <v>840</v>
      </c>
      <c r="C824" t="s">
        <v>8</v>
      </c>
      <c r="D824" t="s">
        <v>9</v>
      </c>
      <c r="E824" t="s">
        <v>10</v>
      </c>
      <c r="F824" s="3">
        <v>763</v>
      </c>
      <c r="G824">
        <v>518605</v>
      </c>
      <c r="H824">
        <f t="shared" si="36"/>
        <v>2023</v>
      </c>
      <c r="I824" t="str">
        <f t="shared" si="37"/>
        <v>November</v>
      </c>
      <c r="J824" t="str">
        <f t="shared" si="38"/>
        <v>Q4</v>
      </c>
      <c r="K824" t="str">
        <f>TEXT(checking_account_main[[#This Row],[Date]],"mmm-yyyy")</f>
        <v>Nov-2023</v>
      </c>
      <c r="L824">
        <f>_xlfn.XLOOKUP(checking_account_main[[#This Row],[Month_Year]],checking_account_main[Month_Year],checking_account_main[Balance],"",0,-1)</f>
        <v>527946</v>
      </c>
    </row>
    <row r="825" spans="1:12" x14ac:dyDescent="0.3">
      <c r="A825" s="1">
        <v>45250</v>
      </c>
      <c r="B825" t="s">
        <v>841</v>
      </c>
      <c r="C825" t="s">
        <v>8</v>
      </c>
      <c r="D825" t="s">
        <v>9</v>
      </c>
      <c r="E825" t="s">
        <v>10</v>
      </c>
      <c r="F825" s="3">
        <v>771</v>
      </c>
      <c r="G825">
        <v>519376</v>
      </c>
      <c r="H825">
        <f t="shared" si="36"/>
        <v>2023</v>
      </c>
      <c r="I825" t="str">
        <f t="shared" si="37"/>
        <v>November</v>
      </c>
      <c r="J825" t="str">
        <f t="shared" si="38"/>
        <v>Q4</v>
      </c>
      <c r="K825" t="str">
        <f>TEXT(checking_account_main[[#This Row],[Date]],"mmm-yyyy")</f>
        <v>Nov-2023</v>
      </c>
      <c r="L825">
        <f>_xlfn.XLOOKUP(checking_account_main[[#This Row],[Month_Year]],checking_account_main[Month_Year],checking_account_main[Balance],"",0,-1)</f>
        <v>527946</v>
      </c>
    </row>
    <row r="826" spans="1:12" x14ac:dyDescent="0.3">
      <c r="A826" s="1">
        <v>45251</v>
      </c>
      <c r="B826" t="s">
        <v>842</v>
      </c>
      <c r="C826" t="s">
        <v>8</v>
      </c>
      <c r="D826" t="s">
        <v>9</v>
      </c>
      <c r="E826" t="s">
        <v>10</v>
      </c>
      <c r="F826" s="3">
        <v>1177</v>
      </c>
      <c r="G826">
        <v>520553</v>
      </c>
      <c r="H826">
        <f t="shared" si="36"/>
        <v>2023</v>
      </c>
      <c r="I826" t="str">
        <f t="shared" si="37"/>
        <v>November</v>
      </c>
      <c r="J826" t="str">
        <f t="shared" si="38"/>
        <v>Q4</v>
      </c>
      <c r="K826" t="str">
        <f>TEXT(checking_account_main[[#This Row],[Date]],"mmm-yyyy")</f>
        <v>Nov-2023</v>
      </c>
      <c r="L826">
        <f>_xlfn.XLOOKUP(checking_account_main[[#This Row],[Month_Year]],checking_account_main[Month_Year],checking_account_main[Balance],"",0,-1)</f>
        <v>527946</v>
      </c>
    </row>
    <row r="827" spans="1:12" x14ac:dyDescent="0.3">
      <c r="A827" s="1">
        <v>45252</v>
      </c>
      <c r="B827" t="s">
        <v>843</v>
      </c>
      <c r="C827" t="s">
        <v>8</v>
      </c>
      <c r="D827" t="s">
        <v>9</v>
      </c>
      <c r="E827" t="s">
        <v>10</v>
      </c>
      <c r="F827" s="3">
        <v>1065</v>
      </c>
      <c r="G827">
        <v>521618</v>
      </c>
      <c r="H827">
        <f t="shared" si="36"/>
        <v>2023</v>
      </c>
      <c r="I827" t="str">
        <f t="shared" si="37"/>
        <v>November</v>
      </c>
      <c r="J827" t="str">
        <f t="shared" si="38"/>
        <v>Q4</v>
      </c>
      <c r="K827" t="str">
        <f>TEXT(checking_account_main[[#This Row],[Date]],"mmm-yyyy")</f>
        <v>Nov-2023</v>
      </c>
      <c r="L827">
        <f>_xlfn.XLOOKUP(checking_account_main[[#This Row],[Month_Year]],checking_account_main[Month_Year],checking_account_main[Balance],"",0,-1)</f>
        <v>527946</v>
      </c>
    </row>
    <row r="828" spans="1:12" x14ac:dyDescent="0.3">
      <c r="A828" s="1">
        <v>45253</v>
      </c>
      <c r="B828" t="s">
        <v>844</v>
      </c>
      <c r="C828" t="s">
        <v>8</v>
      </c>
      <c r="D828" t="s">
        <v>9</v>
      </c>
      <c r="E828" t="s">
        <v>10</v>
      </c>
      <c r="F828" s="3">
        <v>865</v>
      </c>
      <c r="G828">
        <v>522483</v>
      </c>
      <c r="H828">
        <f t="shared" si="36"/>
        <v>2023</v>
      </c>
      <c r="I828" t="str">
        <f t="shared" si="37"/>
        <v>November</v>
      </c>
      <c r="J828" t="str">
        <f t="shared" si="38"/>
        <v>Q4</v>
      </c>
      <c r="K828" t="str">
        <f>TEXT(checking_account_main[[#This Row],[Date]],"mmm-yyyy")</f>
        <v>Nov-2023</v>
      </c>
      <c r="L828">
        <f>_xlfn.XLOOKUP(checking_account_main[[#This Row],[Month_Year]],checking_account_main[Month_Year],checking_account_main[Balance],"",0,-1)</f>
        <v>527946</v>
      </c>
    </row>
    <row r="829" spans="1:12" x14ac:dyDescent="0.3">
      <c r="A829" s="1">
        <v>45254</v>
      </c>
      <c r="B829" t="s">
        <v>845</v>
      </c>
      <c r="C829" t="s">
        <v>8</v>
      </c>
      <c r="D829" t="s">
        <v>9</v>
      </c>
      <c r="E829" t="s">
        <v>10</v>
      </c>
      <c r="F829" s="3">
        <v>1000</v>
      </c>
      <c r="G829">
        <v>523483</v>
      </c>
      <c r="H829">
        <f t="shared" si="36"/>
        <v>2023</v>
      </c>
      <c r="I829" t="str">
        <f t="shared" si="37"/>
        <v>November</v>
      </c>
      <c r="J829" t="str">
        <f t="shared" si="38"/>
        <v>Q4</v>
      </c>
      <c r="K829" t="str">
        <f>TEXT(checking_account_main[[#This Row],[Date]],"mmm-yyyy")</f>
        <v>Nov-2023</v>
      </c>
      <c r="L829">
        <f>_xlfn.XLOOKUP(checking_account_main[[#This Row],[Month_Year]],checking_account_main[Month_Year],checking_account_main[Balance],"",0,-1)</f>
        <v>527946</v>
      </c>
    </row>
    <row r="830" spans="1:12" x14ac:dyDescent="0.3">
      <c r="A830" s="1">
        <v>45255</v>
      </c>
      <c r="B830" t="s">
        <v>846</v>
      </c>
      <c r="C830" t="s">
        <v>8</v>
      </c>
      <c r="D830" t="s">
        <v>9</v>
      </c>
      <c r="E830" t="s">
        <v>10</v>
      </c>
      <c r="F830" s="3">
        <v>801</v>
      </c>
      <c r="G830">
        <v>524284</v>
      </c>
      <c r="H830">
        <f t="shared" si="36"/>
        <v>2023</v>
      </c>
      <c r="I830" t="str">
        <f t="shared" si="37"/>
        <v>November</v>
      </c>
      <c r="J830" t="str">
        <f t="shared" si="38"/>
        <v>Q4</v>
      </c>
      <c r="K830" t="str">
        <f>TEXT(checking_account_main[[#This Row],[Date]],"mmm-yyyy")</f>
        <v>Nov-2023</v>
      </c>
      <c r="L830">
        <f>_xlfn.XLOOKUP(checking_account_main[[#This Row],[Month_Year]],checking_account_main[Month_Year],checking_account_main[Balance],"",0,-1)</f>
        <v>527946</v>
      </c>
    </row>
    <row r="831" spans="1:12" x14ac:dyDescent="0.3">
      <c r="A831" s="1">
        <v>45256</v>
      </c>
      <c r="B831" t="s">
        <v>847</v>
      </c>
      <c r="C831" t="s">
        <v>8</v>
      </c>
      <c r="D831" t="s">
        <v>9</v>
      </c>
      <c r="E831" t="s">
        <v>10</v>
      </c>
      <c r="F831" s="3">
        <v>966</v>
      </c>
      <c r="G831">
        <v>525250</v>
      </c>
      <c r="H831">
        <f t="shared" si="36"/>
        <v>2023</v>
      </c>
      <c r="I831" t="str">
        <f t="shared" si="37"/>
        <v>November</v>
      </c>
      <c r="J831" t="str">
        <f t="shared" si="38"/>
        <v>Q4</v>
      </c>
      <c r="K831" t="str">
        <f>TEXT(checking_account_main[[#This Row],[Date]],"mmm-yyyy")</f>
        <v>Nov-2023</v>
      </c>
      <c r="L831">
        <f>_xlfn.XLOOKUP(checking_account_main[[#This Row],[Month_Year]],checking_account_main[Month_Year],checking_account_main[Balance],"",0,-1)</f>
        <v>527946</v>
      </c>
    </row>
    <row r="832" spans="1:12" x14ac:dyDescent="0.3">
      <c r="A832" s="1">
        <v>45257</v>
      </c>
      <c r="B832" t="s">
        <v>848</v>
      </c>
      <c r="C832" t="s">
        <v>8</v>
      </c>
      <c r="D832" t="s">
        <v>9</v>
      </c>
      <c r="E832" t="s">
        <v>10</v>
      </c>
      <c r="F832" s="3">
        <v>787</v>
      </c>
      <c r="G832">
        <v>526037</v>
      </c>
      <c r="H832">
        <f t="shared" si="36"/>
        <v>2023</v>
      </c>
      <c r="I832" t="str">
        <f t="shared" si="37"/>
        <v>November</v>
      </c>
      <c r="J832" t="str">
        <f t="shared" si="38"/>
        <v>Q4</v>
      </c>
      <c r="K832" t="str">
        <f>TEXT(checking_account_main[[#This Row],[Date]],"mmm-yyyy")</f>
        <v>Nov-2023</v>
      </c>
      <c r="L832">
        <f>_xlfn.XLOOKUP(checking_account_main[[#This Row],[Month_Year]],checking_account_main[Month_Year],checking_account_main[Balance],"",0,-1)</f>
        <v>527946</v>
      </c>
    </row>
    <row r="833" spans="1:12" x14ac:dyDescent="0.3">
      <c r="A833" s="1">
        <v>45257</v>
      </c>
      <c r="B833" t="s">
        <v>849</v>
      </c>
      <c r="C833" t="s">
        <v>28</v>
      </c>
      <c r="D833" t="s">
        <v>29</v>
      </c>
      <c r="E833" t="s">
        <v>17</v>
      </c>
      <c r="F833" s="3">
        <v>175</v>
      </c>
      <c r="G833">
        <v>525862</v>
      </c>
      <c r="H833">
        <f t="shared" si="36"/>
        <v>2023</v>
      </c>
      <c r="I833" t="str">
        <f t="shared" si="37"/>
        <v>November</v>
      </c>
      <c r="J833" t="str">
        <f t="shared" si="38"/>
        <v>Q4</v>
      </c>
      <c r="K833" t="str">
        <f>TEXT(checking_account_main[[#This Row],[Date]],"mmm-yyyy")</f>
        <v>Nov-2023</v>
      </c>
      <c r="L833">
        <f>_xlfn.XLOOKUP(checking_account_main[[#This Row],[Month_Year]],checking_account_main[Month_Year],checking_account_main[Balance],"",0,-1)</f>
        <v>527946</v>
      </c>
    </row>
    <row r="834" spans="1:12" x14ac:dyDescent="0.3">
      <c r="A834" s="1">
        <v>45258</v>
      </c>
      <c r="B834" t="s">
        <v>850</v>
      </c>
      <c r="C834" t="s">
        <v>8</v>
      </c>
      <c r="D834" t="s">
        <v>9</v>
      </c>
      <c r="E834" t="s">
        <v>10</v>
      </c>
      <c r="F834" s="3">
        <v>745</v>
      </c>
      <c r="G834">
        <v>526607</v>
      </c>
      <c r="H834">
        <f t="shared" ref="H834:H878" si="39">YEAR(A834)</f>
        <v>2023</v>
      </c>
      <c r="I834" t="str">
        <f t="shared" ref="I834:I878" si="40">TEXT(A834,"mmmm")</f>
        <v>November</v>
      </c>
      <c r="J834" t="str">
        <f t="shared" ref="J834:J878" si="41">"Q"&amp;ROUNDUP(MONTH(A834)/3,0)</f>
        <v>Q4</v>
      </c>
      <c r="K834" t="str">
        <f>TEXT(checking_account_main[[#This Row],[Date]],"mmm-yyyy")</f>
        <v>Nov-2023</v>
      </c>
      <c r="L834">
        <f>_xlfn.XLOOKUP(checking_account_main[[#This Row],[Month_Year]],checking_account_main[Month_Year],checking_account_main[Balance],"",0,-1)</f>
        <v>527946</v>
      </c>
    </row>
    <row r="835" spans="1:12" x14ac:dyDescent="0.3">
      <c r="A835" s="1">
        <v>45258</v>
      </c>
      <c r="B835" t="s">
        <v>851</v>
      </c>
      <c r="C835" t="s">
        <v>22</v>
      </c>
      <c r="D835" t="s">
        <v>16</v>
      </c>
      <c r="E835" t="s">
        <v>17</v>
      </c>
      <c r="F835" s="3">
        <v>179</v>
      </c>
      <c r="G835">
        <v>526428</v>
      </c>
      <c r="H835">
        <f t="shared" si="39"/>
        <v>2023</v>
      </c>
      <c r="I835" t="str">
        <f t="shared" si="40"/>
        <v>November</v>
      </c>
      <c r="J835" t="str">
        <f t="shared" si="41"/>
        <v>Q4</v>
      </c>
      <c r="K835" t="str">
        <f>TEXT(checking_account_main[[#This Row],[Date]],"mmm-yyyy")</f>
        <v>Nov-2023</v>
      </c>
      <c r="L835">
        <f>_xlfn.XLOOKUP(checking_account_main[[#This Row],[Month_Year]],checking_account_main[Month_Year],checking_account_main[Balance],"",0,-1)</f>
        <v>527946</v>
      </c>
    </row>
    <row r="836" spans="1:12" x14ac:dyDescent="0.3">
      <c r="A836" s="1">
        <v>45259</v>
      </c>
      <c r="B836" t="s">
        <v>852</v>
      </c>
      <c r="C836" t="s">
        <v>8</v>
      </c>
      <c r="D836" t="s">
        <v>9</v>
      </c>
      <c r="E836" t="s">
        <v>10</v>
      </c>
      <c r="F836" s="3">
        <v>847</v>
      </c>
      <c r="G836">
        <v>527275</v>
      </c>
      <c r="H836">
        <f t="shared" si="39"/>
        <v>2023</v>
      </c>
      <c r="I836" t="str">
        <f t="shared" si="40"/>
        <v>November</v>
      </c>
      <c r="J836" t="str">
        <f t="shared" si="41"/>
        <v>Q4</v>
      </c>
      <c r="K836" t="str">
        <f>TEXT(checking_account_main[[#This Row],[Date]],"mmm-yyyy")</f>
        <v>Nov-2023</v>
      </c>
      <c r="L836">
        <f>_xlfn.XLOOKUP(checking_account_main[[#This Row],[Month_Year]],checking_account_main[Month_Year],checking_account_main[Balance],"",0,-1)</f>
        <v>527946</v>
      </c>
    </row>
    <row r="837" spans="1:12" x14ac:dyDescent="0.3">
      <c r="A837" s="1">
        <v>45260</v>
      </c>
      <c r="B837" t="s">
        <v>853</v>
      </c>
      <c r="C837" t="s">
        <v>8</v>
      </c>
      <c r="D837" t="s">
        <v>9</v>
      </c>
      <c r="E837" t="s">
        <v>10</v>
      </c>
      <c r="F837" s="3">
        <v>1123</v>
      </c>
      <c r="G837">
        <v>528398</v>
      </c>
      <c r="H837">
        <f t="shared" si="39"/>
        <v>2023</v>
      </c>
      <c r="I837" t="str">
        <f t="shared" si="40"/>
        <v>November</v>
      </c>
      <c r="J837" t="str">
        <f t="shared" si="41"/>
        <v>Q4</v>
      </c>
      <c r="K837" t="str">
        <f>TEXT(checking_account_main[[#This Row],[Date]],"mmm-yyyy")</f>
        <v>Nov-2023</v>
      </c>
      <c r="L837">
        <f>_xlfn.XLOOKUP(checking_account_main[[#This Row],[Month_Year]],checking_account_main[Month_Year],checking_account_main[Balance],"",0,-1)</f>
        <v>527946</v>
      </c>
    </row>
    <row r="838" spans="1:12" x14ac:dyDescent="0.3">
      <c r="A838" s="1">
        <v>45260</v>
      </c>
      <c r="B838" t="s">
        <v>854</v>
      </c>
      <c r="C838" t="s">
        <v>47</v>
      </c>
      <c r="D838" t="s">
        <v>29</v>
      </c>
      <c r="E838" t="s">
        <v>17</v>
      </c>
      <c r="F838" s="3">
        <v>452</v>
      </c>
      <c r="G838">
        <v>527946</v>
      </c>
      <c r="H838">
        <f t="shared" si="39"/>
        <v>2023</v>
      </c>
      <c r="I838" t="str">
        <f t="shared" si="40"/>
        <v>November</v>
      </c>
      <c r="J838" t="str">
        <f t="shared" si="41"/>
        <v>Q4</v>
      </c>
      <c r="K838" t="str">
        <f>TEXT(checking_account_main[[#This Row],[Date]],"mmm-yyyy")</f>
        <v>Nov-2023</v>
      </c>
      <c r="L838">
        <f>_xlfn.XLOOKUP(checking_account_main[[#This Row],[Month_Year]],checking_account_main[Month_Year],checking_account_main[Balance],"",0,-1)</f>
        <v>527946</v>
      </c>
    </row>
    <row r="839" spans="1:12" x14ac:dyDescent="0.3">
      <c r="A839" s="1">
        <v>45261</v>
      </c>
      <c r="B839" t="s">
        <v>855</v>
      </c>
      <c r="C839" t="s">
        <v>8</v>
      </c>
      <c r="D839" t="s">
        <v>9</v>
      </c>
      <c r="E839" t="s">
        <v>10</v>
      </c>
      <c r="F839" s="3">
        <v>924</v>
      </c>
      <c r="G839">
        <v>528870</v>
      </c>
      <c r="H839">
        <f t="shared" si="39"/>
        <v>2023</v>
      </c>
      <c r="I839" t="str">
        <f t="shared" si="40"/>
        <v>December</v>
      </c>
      <c r="J839" t="str">
        <f t="shared" si="41"/>
        <v>Q4</v>
      </c>
      <c r="K839" t="str">
        <f>TEXT(checking_account_main[[#This Row],[Date]],"mmm-yyyy")</f>
        <v>Dec-2023</v>
      </c>
      <c r="L839">
        <f>_xlfn.XLOOKUP(checking_account_main[[#This Row],[Month_Year]],checking_account_main[Month_Year],checking_account_main[Balance],"",0,-1)</f>
        <v>554608</v>
      </c>
    </row>
    <row r="840" spans="1:12" x14ac:dyDescent="0.3">
      <c r="A840" s="1">
        <v>45261</v>
      </c>
      <c r="B840" t="s">
        <v>856</v>
      </c>
      <c r="C840" t="s">
        <v>22</v>
      </c>
      <c r="D840" t="s">
        <v>16</v>
      </c>
      <c r="E840" t="s">
        <v>17</v>
      </c>
      <c r="F840" s="3">
        <v>176</v>
      </c>
      <c r="G840">
        <v>528694</v>
      </c>
      <c r="H840">
        <f t="shared" si="39"/>
        <v>2023</v>
      </c>
      <c r="I840" t="str">
        <f t="shared" si="40"/>
        <v>December</v>
      </c>
      <c r="J840" t="str">
        <f t="shared" si="41"/>
        <v>Q4</v>
      </c>
      <c r="K840" t="str">
        <f>TEXT(checking_account_main[[#This Row],[Date]],"mmm-yyyy")</f>
        <v>Dec-2023</v>
      </c>
      <c r="L840">
        <f>_xlfn.XLOOKUP(checking_account_main[[#This Row],[Month_Year]],checking_account_main[Month_Year],checking_account_main[Balance],"",0,-1)</f>
        <v>554608</v>
      </c>
    </row>
    <row r="841" spans="1:12" x14ac:dyDescent="0.3">
      <c r="A841" s="1">
        <v>45262</v>
      </c>
      <c r="B841" t="s">
        <v>857</v>
      </c>
      <c r="C841" t="s">
        <v>8</v>
      </c>
      <c r="D841" t="s">
        <v>9</v>
      </c>
      <c r="E841" t="s">
        <v>10</v>
      </c>
      <c r="F841" s="3">
        <v>853</v>
      </c>
      <c r="G841">
        <v>529547</v>
      </c>
      <c r="H841">
        <f t="shared" si="39"/>
        <v>2023</v>
      </c>
      <c r="I841" t="str">
        <f t="shared" si="40"/>
        <v>December</v>
      </c>
      <c r="J841" t="str">
        <f t="shared" si="41"/>
        <v>Q4</v>
      </c>
      <c r="K841" t="str">
        <f>TEXT(checking_account_main[[#This Row],[Date]],"mmm-yyyy")</f>
        <v>Dec-2023</v>
      </c>
      <c r="L841">
        <f>_xlfn.XLOOKUP(checking_account_main[[#This Row],[Month_Year]],checking_account_main[Month_Year],checking_account_main[Balance],"",0,-1)</f>
        <v>554608</v>
      </c>
    </row>
    <row r="842" spans="1:12" x14ac:dyDescent="0.3">
      <c r="A842" s="1">
        <v>45263</v>
      </c>
      <c r="B842" t="s">
        <v>858</v>
      </c>
      <c r="C842" t="s">
        <v>8</v>
      </c>
      <c r="D842" t="s">
        <v>9</v>
      </c>
      <c r="E842" t="s">
        <v>10</v>
      </c>
      <c r="F842" s="3">
        <v>893</v>
      </c>
      <c r="G842">
        <v>530440</v>
      </c>
      <c r="H842">
        <f t="shared" si="39"/>
        <v>2023</v>
      </c>
      <c r="I842" t="str">
        <f t="shared" si="40"/>
        <v>December</v>
      </c>
      <c r="J842" t="str">
        <f t="shared" si="41"/>
        <v>Q4</v>
      </c>
      <c r="K842" t="str">
        <f>TEXT(checking_account_main[[#This Row],[Date]],"mmm-yyyy")</f>
        <v>Dec-2023</v>
      </c>
      <c r="L842">
        <f>_xlfn.XLOOKUP(checking_account_main[[#This Row],[Month_Year]],checking_account_main[Month_Year],checking_account_main[Balance],"",0,-1)</f>
        <v>554608</v>
      </c>
    </row>
    <row r="843" spans="1:12" x14ac:dyDescent="0.3">
      <c r="A843" s="1">
        <v>45264</v>
      </c>
      <c r="B843" t="s">
        <v>859</v>
      </c>
      <c r="C843" t="s">
        <v>8</v>
      </c>
      <c r="D843" t="s">
        <v>9</v>
      </c>
      <c r="E843" t="s">
        <v>10</v>
      </c>
      <c r="F843" s="3">
        <v>789</v>
      </c>
      <c r="G843">
        <v>531229</v>
      </c>
      <c r="H843">
        <f t="shared" si="39"/>
        <v>2023</v>
      </c>
      <c r="I843" t="str">
        <f t="shared" si="40"/>
        <v>December</v>
      </c>
      <c r="J843" t="str">
        <f t="shared" si="41"/>
        <v>Q4</v>
      </c>
      <c r="K843" t="str">
        <f>TEXT(checking_account_main[[#This Row],[Date]],"mmm-yyyy")</f>
        <v>Dec-2023</v>
      </c>
      <c r="L843">
        <f>_xlfn.XLOOKUP(checking_account_main[[#This Row],[Month_Year]],checking_account_main[Month_Year],checking_account_main[Balance],"",0,-1)</f>
        <v>554608</v>
      </c>
    </row>
    <row r="844" spans="1:12" x14ac:dyDescent="0.3">
      <c r="A844" s="1">
        <v>45265</v>
      </c>
      <c r="B844" t="s">
        <v>860</v>
      </c>
      <c r="C844" t="s">
        <v>8</v>
      </c>
      <c r="D844" t="s">
        <v>9</v>
      </c>
      <c r="E844" t="s">
        <v>10</v>
      </c>
      <c r="F844" s="3">
        <v>1197</v>
      </c>
      <c r="G844">
        <v>532426</v>
      </c>
      <c r="H844">
        <f t="shared" si="39"/>
        <v>2023</v>
      </c>
      <c r="I844" t="str">
        <f t="shared" si="40"/>
        <v>December</v>
      </c>
      <c r="J844" t="str">
        <f t="shared" si="41"/>
        <v>Q4</v>
      </c>
      <c r="K844" t="str">
        <f>TEXT(checking_account_main[[#This Row],[Date]],"mmm-yyyy")</f>
        <v>Dec-2023</v>
      </c>
      <c r="L844">
        <f>_xlfn.XLOOKUP(checking_account_main[[#This Row],[Month_Year]],checking_account_main[Month_Year],checking_account_main[Balance],"",0,-1)</f>
        <v>554608</v>
      </c>
    </row>
    <row r="845" spans="1:12" x14ac:dyDescent="0.3">
      <c r="A845" s="1">
        <v>45266</v>
      </c>
      <c r="B845" t="s">
        <v>861</v>
      </c>
      <c r="C845" t="s">
        <v>8</v>
      </c>
      <c r="D845" t="s">
        <v>9</v>
      </c>
      <c r="E845" t="s">
        <v>10</v>
      </c>
      <c r="F845" s="3">
        <v>805</v>
      </c>
      <c r="G845">
        <v>533231</v>
      </c>
      <c r="H845">
        <f t="shared" si="39"/>
        <v>2023</v>
      </c>
      <c r="I845" t="str">
        <f t="shared" si="40"/>
        <v>December</v>
      </c>
      <c r="J845" t="str">
        <f t="shared" si="41"/>
        <v>Q4</v>
      </c>
      <c r="K845" t="str">
        <f>TEXT(checking_account_main[[#This Row],[Date]],"mmm-yyyy")</f>
        <v>Dec-2023</v>
      </c>
      <c r="L845">
        <f>_xlfn.XLOOKUP(checking_account_main[[#This Row],[Month_Year]],checking_account_main[Month_Year],checking_account_main[Balance],"",0,-1)</f>
        <v>554608</v>
      </c>
    </row>
    <row r="846" spans="1:12" x14ac:dyDescent="0.3">
      <c r="A846" s="1">
        <v>45266</v>
      </c>
      <c r="B846" t="s">
        <v>862</v>
      </c>
      <c r="C846" t="s">
        <v>15</v>
      </c>
      <c r="D846" t="s">
        <v>16</v>
      </c>
      <c r="E846" t="s">
        <v>17</v>
      </c>
      <c r="F846" s="3">
        <v>404</v>
      </c>
      <c r="G846">
        <v>532827</v>
      </c>
      <c r="H846">
        <f t="shared" si="39"/>
        <v>2023</v>
      </c>
      <c r="I846" t="str">
        <f t="shared" si="40"/>
        <v>December</v>
      </c>
      <c r="J846" t="str">
        <f t="shared" si="41"/>
        <v>Q4</v>
      </c>
      <c r="K846" t="str">
        <f>TEXT(checking_account_main[[#This Row],[Date]],"mmm-yyyy")</f>
        <v>Dec-2023</v>
      </c>
      <c r="L846">
        <f>_xlfn.XLOOKUP(checking_account_main[[#This Row],[Month_Year]],checking_account_main[Month_Year],checking_account_main[Balance],"",0,-1)</f>
        <v>554608</v>
      </c>
    </row>
    <row r="847" spans="1:12" x14ac:dyDescent="0.3">
      <c r="A847" s="1">
        <v>45267</v>
      </c>
      <c r="B847" t="s">
        <v>863</v>
      </c>
      <c r="C847" t="s">
        <v>8</v>
      </c>
      <c r="D847" t="s">
        <v>9</v>
      </c>
      <c r="E847" t="s">
        <v>10</v>
      </c>
      <c r="F847" s="3">
        <v>1016</v>
      </c>
      <c r="G847">
        <v>533843</v>
      </c>
      <c r="H847">
        <f t="shared" si="39"/>
        <v>2023</v>
      </c>
      <c r="I847" t="str">
        <f t="shared" si="40"/>
        <v>December</v>
      </c>
      <c r="J847" t="str">
        <f t="shared" si="41"/>
        <v>Q4</v>
      </c>
      <c r="K847" t="str">
        <f>TEXT(checking_account_main[[#This Row],[Date]],"mmm-yyyy")</f>
        <v>Dec-2023</v>
      </c>
      <c r="L847">
        <f>_xlfn.XLOOKUP(checking_account_main[[#This Row],[Month_Year]],checking_account_main[Month_Year],checking_account_main[Balance],"",0,-1)</f>
        <v>554608</v>
      </c>
    </row>
    <row r="848" spans="1:12" x14ac:dyDescent="0.3">
      <c r="A848" s="1">
        <v>45268</v>
      </c>
      <c r="B848" t="s">
        <v>864</v>
      </c>
      <c r="C848" t="s">
        <v>8</v>
      </c>
      <c r="D848" t="s">
        <v>9</v>
      </c>
      <c r="E848" t="s">
        <v>10</v>
      </c>
      <c r="F848" s="3">
        <v>1089</v>
      </c>
      <c r="G848">
        <v>534932</v>
      </c>
      <c r="H848">
        <f t="shared" si="39"/>
        <v>2023</v>
      </c>
      <c r="I848" t="str">
        <f t="shared" si="40"/>
        <v>December</v>
      </c>
      <c r="J848" t="str">
        <f t="shared" si="41"/>
        <v>Q4</v>
      </c>
      <c r="K848" t="str">
        <f>TEXT(checking_account_main[[#This Row],[Date]],"mmm-yyyy")</f>
        <v>Dec-2023</v>
      </c>
      <c r="L848">
        <f>_xlfn.XLOOKUP(checking_account_main[[#This Row],[Month_Year]],checking_account_main[Month_Year],checking_account_main[Balance],"",0,-1)</f>
        <v>554608</v>
      </c>
    </row>
    <row r="849" spans="1:12" x14ac:dyDescent="0.3">
      <c r="A849" s="1">
        <v>45269</v>
      </c>
      <c r="B849" t="s">
        <v>865</v>
      </c>
      <c r="C849" t="s">
        <v>8</v>
      </c>
      <c r="D849" t="s">
        <v>9</v>
      </c>
      <c r="E849" t="s">
        <v>10</v>
      </c>
      <c r="F849" s="3">
        <v>772</v>
      </c>
      <c r="G849">
        <v>535704</v>
      </c>
      <c r="H849">
        <f t="shared" si="39"/>
        <v>2023</v>
      </c>
      <c r="I849" t="str">
        <f t="shared" si="40"/>
        <v>December</v>
      </c>
      <c r="J849" t="str">
        <f t="shared" si="41"/>
        <v>Q4</v>
      </c>
      <c r="K849" t="str">
        <f>TEXT(checking_account_main[[#This Row],[Date]],"mmm-yyyy")</f>
        <v>Dec-2023</v>
      </c>
      <c r="L849">
        <f>_xlfn.XLOOKUP(checking_account_main[[#This Row],[Month_Year]],checking_account_main[Month_Year],checking_account_main[Balance],"",0,-1)</f>
        <v>554608</v>
      </c>
    </row>
    <row r="850" spans="1:12" x14ac:dyDescent="0.3">
      <c r="A850" s="1">
        <v>45269</v>
      </c>
      <c r="B850" t="s">
        <v>866</v>
      </c>
      <c r="C850" t="s">
        <v>47</v>
      </c>
      <c r="D850" t="s">
        <v>29</v>
      </c>
      <c r="E850" t="s">
        <v>17</v>
      </c>
      <c r="F850" s="3">
        <v>140</v>
      </c>
      <c r="G850">
        <v>535564</v>
      </c>
      <c r="H850">
        <f t="shared" si="39"/>
        <v>2023</v>
      </c>
      <c r="I850" t="str">
        <f t="shared" si="40"/>
        <v>December</v>
      </c>
      <c r="J850" t="str">
        <f t="shared" si="41"/>
        <v>Q4</v>
      </c>
      <c r="K850" t="str">
        <f>TEXT(checking_account_main[[#This Row],[Date]],"mmm-yyyy")</f>
        <v>Dec-2023</v>
      </c>
      <c r="L850">
        <f>_xlfn.XLOOKUP(checking_account_main[[#This Row],[Month_Year]],checking_account_main[Month_Year],checking_account_main[Balance],"",0,-1)</f>
        <v>554608</v>
      </c>
    </row>
    <row r="851" spans="1:12" x14ac:dyDescent="0.3">
      <c r="A851" s="1">
        <v>45270</v>
      </c>
      <c r="B851" t="s">
        <v>867</v>
      </c>
      <c r="C851" t="s">
        <v>8</v>
      </c>
      <c r="D851" t="s">
        <v>9</v>
      </c>
      <c r="E851" t="s">
        <v>10</v>
      </c>
      <c r="F851" s="3">
        <v>903</v>
      </c>
      <c r="G851">
        <v>536467</v>
      </c>
      <c r="H851">
        <f t="shared" si="39"/>
        <v>2023</v>
      </c>
      <c r="I851" t="str">
        <f t="shared" si="40"/>
        <v>December</v>
      </c>
      <c r="J851" t="str">
        <f t="shared" si="41"/>
        <v>Q4</v>
      </c>
      <c r="K851" t="str">
        <f>TEXT(checking_account_main[[#This Row],[Date]],"mmm-yyyy")</f>
        <v>Dec-2023</v>
      </c>
      <c r="L851">
        <f>_xlfn.XLOOKUP(checking_account_main[[#This Row],[Month_Year]],checking_account_main[Month_Year],checking_account_main[Balance],"",0,-1)</f>
        <v>554608</v>
      </c>
    </row>
    <row r="852" spans="1:12" x14ac:dyDescent="0.3">
      <c r="A852" s="1">
        <v>45271</v>
      </c>
      <c r="B852" t="s">
        <v>868</v>
      </c>
      <c r="C852" t="s">
        <v>8</v>
      </c>
      <c r="D852" t="s">
        <v>9</v>
      </c>
      <c r="E852" t="s">
        <v>10</v>
      </c>
      <c r="F852" s="3">
        <v>877</v>
      </c>
      <c r="G852">
        <v>537344</v>
      </c>
      <c r="H852">
        <f t="shared" si="39"/>
        <v>2023</v>
      </c>
      <c r="I852" t="str">
        <f t="shared" si="40"/>
        <v>December</v>
      </c>
      <c r="J852" t="str">
        <f t="shared" si="41"/>
        <v>Q4</v>
      </c>
      <c r="K852" t="str">
        <f>TEXT(checking_account_main[[#This Row],[Date]],"mmm-yyyy")</f>
        <v>Dec-2023</v>
      </c>
      <c r="L852">
        <f>_xlfn.XLOOKUP(checking_account_main[[#This Row],[Month_Year]],checking_account_main[Month_Year],checking_account_main[Balance],"",0,-1)</f>
        <v>554608</v>
      </c>
    </row>
    <row r="853" spans="1:12" x14ac:dyDescent="0.3">
      <c r="A853" s="1">
        <v>45272</v>
      </c>
      <c r="B853" t="s">
        <v>869</v>
      </c>
      <c r="C853" t="s">
        <v>8</v>
      </c>
      <c r="D853" t="s">
        <v>9</v>
      </c>
      <c r="E853" t="s">
        <v>10</v>
      </c>
      <c r="F853" s="3">
        <v>783</v>
      </c>
      <c r="G853">
        <v>538127</v>
      </c>
      <c r="H853">
        <f t="shared" si="39"/>
        <v>2023</v>
      </c>
      <c r="I853" t="str">
        <f t="shared" si="40"/>
        <v>December</v>
      </c>
      <c r="J853" t="str">
        <f t="shared" si="41"/>
        <v>Q4</v>
      </c>
      <c r="K853" t="str">
        <f>TEXT(checking_account_main[[#This Row],[Date]],"mmm-yyyy")</f>
        <v>Dec-2023</v>
      </c>
      <c r="L853">
        <f>_xlfn.XLOOKUP(checking_account_main[[#This Row],[Month_Year]],checking_account_main[Month_Year],checking_account_main[Balance],"",0,-1)</f>
        <v>554608</v>
      </c>
    </row>
    <row r="854" spans="1:12" x14ac:dyDescent="0.3">
      <c r="A854" s="1">
        <v>45273</v>
      </c>
      <c r="B854" t="s">
        <v>870</v>
      </c>
      <c r="C854" t="s">
        <v>8</v>
      </c>
      <c r="D854" t="s">
        <v>9</v>
      </c>
      <c r="E854" t="s">
        <v>10</v>
      </c>
      <c r="F854" s="3">
        <v>950</v>
      </c>
      <c r="G854">
        <v>539077</v>
      </c>
      <c r="H854">
        <f t="shared" si="39"/>
        <v>2023</v>
      </c>
      <c r="I854" t="str">
        <f t="shared" si="40"/>
        <v>December</v>
      </c>
      <c r="J854" t="str">
        <f t="shared" si="41"/>
        <v>Q4</v>
      </c>
      <c r="K854" t="str">
        <f>TEXT(checking_account_main[[#This Row],[Date]],"mmm-yyyy")</f>
        <v>Dec-2023</v>
      </c>
      <c r="L854">
        <f>_xlfn.XLOOKUP(checking_account_main[[#This Row],[Month_Year]],checking_account_main[Month_Year],checking_account_main[Balance],"",0,-1)</f>
        <v>554608</v>
      </c>
    </row>
    <row r="855" spans="1:12" x14ac:dyDescent="0.3">
      <c r="A855" s="1">
        <v>45274</v>
      </c>
      <c r="B855" t="s">
        <v>871</v>
      </c>
      <c r="C855" t="s">
        <v>8</v>
      </c>
      <c r="D855" t="s">
        <v>9</v>
      </c>
      <c r="E855" t="s">
        <v>10</v>
      </c>
      <c r="F855" s="3">
        <v>1158</v>
      </c>
      <c r="G855">
        <v>540235</v>
      </c>
      <c r="H855">
        <f t="shared" si="39"/>
        <v>2023</v>
      </c>
      <c r="I855" t="str">
        <f t="shared" si="40"/>
        <v>December</v>
      </c>
      <c r="J855" t="str">
        <f t="shared" si="41"/>
        <v>Q4</v>
      </c>
      <c r="K855" t="str">
        <f>TEXT(checking_account_main[[#This Row],[Date]],"mmm-yyyy")</f>
        <v>Dec-2023</v>
      </c>
      <c r="L855">
        <f>_xlfn.XLOOKUP(checking_account_main[[#This Row],[Month_Year]],checking_account_main[Month_Year],checking_account_main[Balance],"",0,-1)</f>
        <v>554608</v>
      </c>
    </row>
    <row r="856" spans="1:12" x14ac:dyDescent="0.3">
      <c r="A856" s="1">
        <v>45275</v>
      </c>
      <c r="B856" t="s">
        <v>872</v>
      </c>
      <c r="C856" t="s">
        <v>8</v>
      </c>
      <c r="D856" t="s">
        <v>9</v>
      </c>
      <c r="E856" t="s">
        <v>10</v>
      </c>
      <c r="F856" s="3">
        <v>1087</v>
      </c>
      <c r="G856">
        <v>541322</v>
      </c>
      <c r="H856">
        <f t="shared" si="39"/>
        <v>2023</v>
      </c>
      <c r="I856" t="str">
        <f t="shared" si="40"/>
        <v>December</v>
      </c>
      <c r="J856" t="str">
        <f t="shared" si="41"/>
        <v>Q4</v>
      </c>
      <c r="K856" t="str">
        <f>TEXT(checking_account_main[[#This Row],[Date]],"mmm-yyyy")</f>
        <v>Dec-2023</v>
      </c>
      <c r="L856">
        <f>_xlfn.XLOOKUP(checking_account_main[[#This Row],[Month_Year]],checking_account_main[Month_Year],checking_account_main[Balance],"",0,-1)</f>
        <v>554608</v>
      </c>
    </row>
    <row r="857" spans="1:12" x14ac:dyDescent="0.3">
      <c r="A857" s="1">
        <v>45276</v>
      </c>
      <c r="B857" t="s">
        <v>873</v>
      </c>
      <c r="C857" t="s">
        <v>8</v>
      </c>
      <c r="D857" t="s">
        <v>9</v>
      </c>
      <c r="E857" t="s">
        <v>10</v>
      </c>
      <c r="F857" s="3">
        <v>721</v>
      </c>
      <c r="G857">
        <v>542043</v>
      </c>
      <c r="H857">
        <f t="shared" si="39"/>
        <v>2023</v>
      </c>
      <c r="I857" t="str">
        <f t="shared" si="40"/>
        <v>December</v>
      </c>
      <c r="J857" t="str">
        <f t="shared" si="41"/>
        <v>Q4</v>
      </c>
      <c r="K857" t="str">
        <f>TEXT(checking_account_main[[#This Row],[Date]],"mmm-yyyy")</f>
        <v>Dec-2023</v>
      </c>
      <c r="L857">
        <f>_xlfn.XLOOKUP(checking_account_main[[#This Row],[Month_Year]],checking_account_main[Month_Year],checking_account_main[Balance],"",0,-1)</f>
        <v>554608</v>
      </c>
    </row>
    <row r="858" spans="1:12" x14ac:dyDescent="0.3">
      <c r="A858" s="1">
        <v>45277</v>
      </c>
      <c r="B858" t="s">
        <v>874</v>
      </c>
      <c r="C858" t="s">
        <v>8</v>
      </c>
      <c r="D858" t="s">
        <v>9</v>
      </c>
      <c r="E858" t="s">
        <v>10</v>
      </c>
      <c r="F858" s="3">
        <v>702</v>
      </c>
      <c r="G858">
        <v>542745</v>
      </c>
      <c r="H858">
        <f t="shared" si="39"/>
        <v>2023</v>
      </c>
      <c r="I858" t="str">
        <f t="shared" si="40"/>
        <v>December</v>
      </c>
      <c r="J858" t="str">
        <f t="shared" si="41"/>
        <v>Q4</v>
      </c>
      <c r="K858" t="str">
        <f>TEXT(checking_account_main[[#This Row],[Date]],"mmm-yyyy")</f>
        <v>Dec-2023</v>
      </c>
      <c r="L858">
        <f>_xlfn.XLOOKUP(checking_account_main[[#This Row],[Month_Year]],checking_account_main[Month_Year],checking_account_main[Balance],"",0,-1)</f>
        <v>554608</v>
      </c>
    </row>
    <row r="859" spans="1:12" x14ac:dyDescent="0.3">
      <c r="A859" s="1">
        <v>45277</v>
      </c>
      <c r="B859" t="s">
        <v>875</v>
      </c>
      <c r="C859" t="s">
        <v>47</v>
      </c>
      <c r="D859" t="s">
        <v>29</v>
      </c>
      <c r="E859" t="s">
        <v>17</v>
      </c>
      <c r="F859" s="3">
        <v>287</v>
      </c>
      <c r="G859">
        <v>542458</v>
      </c>
      <c r="H859">
        <f t="shared" si="39"/>
        <v>2023</v>
      </c>
      <c r="I859" t="str">
        <f t="shared" si="40"/>
        <v>December</v>
      </c>
      <c r="J859" t="str">
        <f t="shared" si="41"/>
        <v>Q4</v>
      </c>
      <c r="K859" t="str">
        <f>TEXT(checking_account_main[[#This Row],[Date]],"mmm-yyyy")</f>
        <v>Dec-2023</v>
      </c>
      <c r="L859">
        <f>_xlfn.XLOOKUP(checking_account_main[[#This Row],[Month_Year]],checking_account_main[Month_Year],checking_account_main[Balance],"",0,-1)</f>
        <v>554608</v>
      </c>
    </row>
    <row r="860" spans="1:12" x14ac:dyDescent="0.3">
      <c r="A860" s="1">
        <v>45278</v>
      </c>
      <c r="B860" t="s">
        <v>876</v>
      </c>
      <c r="C860" t="s">
        <v>8</v>
      </c>
      <c r="D860" t="s">
        <v>9</v>
      </c>
      <c r="E860" t="s">
        <v>10</v>
      </c>
      <c r="F860" s="3">
        <v>713</v>
      </c>
      <c r="G860">
        <v>543171</v>
      </c>
      <c r="H860">
        <f t="shared" si="39"/>
        <v>2023</v>
      </c>
      <c r="I860" t="str">
        <f t="shared" si="40"/>
        <v>December</v>
      </c>
      <c r="J860" t="str">
        <f t="shared" si="41"/>
        <v>Q4</v>
      </c>
      <c r="K860" t="str">
        <f>TEXT(checking_account_main[[#This Row],[Date]],"mmm-yyyy")</f>
        <v>Dec-2023</v>
      </c>
      <c r="L860">
        <f>_xlfn.XLOOKUP(checking_account_main[[#This Row],[Month_Year]],checking_account_main[Month_Year],checking_account_main[Balance],"",0,-1)</f>
        <v>554608</v>
      </c>
    </row>
    <row r="861" spans="1:12" x14ac:dyDescent="0.3">
      <c r="A861" s="1">
        <v>45278</v>
      </c>
      <c r="B861" t="s">
        <v>877</v>
      </c>
      <c r="C861" t="s">
        <v>22</v>
      </c>
      <c r="D861" t="s">
        <v>16</v>
      </c>
      <c r="E861" t="s">
        <v>17</v>
      </c>
      <c r="F861" s="3">
        <v>111</v>
      </c>
      <c r="G861">
        <v>543060</v>
      </c>
      <c r="H861">
        <f t="shared" si="39"/>
        <v>2023</v>
      </c>
      <c r="I861" t="str">
        <f t="shared" si="40"/>
        <v>December</v>
      </c>
      <c r="J861" t="str">
        <f t="shared" si="41"/>
        <v>Q4</v>
      </c>
      <c r="K861" t="str">
        <f>TEXT(checking_account_main[[#This Row],[Date]],"mmm-yyyy")</f>
        <v>Dec-2023</v>
      </c>
      <c r="L861">
        <f>_xlfn.XLOOKUP(checking_account_main[[#This Row],[Month_Year]],checking_account_main[Month_Year],checking_account_main[Balance],"",0,-1)</f>
        <v>554608</v>
      </c>
    </row>
    <row r="862" spans="1:12" x14ac:dyDescent="0.3">
      <c r="A862" s="1">
        <v>45279</v>
      </c>
      <c r="B862" t="s">
        <v>878</v>
      </c>
      <c r="C862" t="s">
        <v>8</v>
      </c>
      <c r="D862" t="s">
        <v>9</v>
      </c>
      <c r="E862" t="s">
        <v>10</v>
      </c>
      <c r="F862" s="3">
        <v>1096</v>
      </c>
      <c r="G862">
        <v>544156</v>
      </c>
      <c r="H862">
        <f t="shared" si="39"/>
        <v>2023</v>
      </c>
      <c r="I862" t="str">
        <f t="shared" si="40"/>
        <v>December</v>
      </c>
      <c r="J862" t="str">
        <f t="shared" si="41"/>
        <v>Q4</v>
      </c>
      <c r="K862" t="str">
        <f>TEXT(checking_account_main[[#This Row],[Date]],"mmm-yyyy")</f>
        <v>Dec-2023</v>
      </c>
      <c r="L862">
        <f>_xlfn.XLOOKUP(checking_account_main[[#This Row],[Month_Year]],checking_account_main[Month_Year],checking_account_main[Balance],"",0,-1)</f>
        <v>554608</v>
      </c>
    </row>
    <row r="863" spans="1:12" x14ac:dyDescent="0.3">
      <c r="A863" s="1">
        <v>45280</v>
      </c>
      <c r="B863" t="s">
        <v>879</v>
      </c>
      <c r="C863" t="s">
        <v>8</v>
      </c>
      <c r="D863" t="s">
        <v>9</v>
      </c>
      <c r="E863" t="s">
        <v>10</v>
      </c>
      <c r="F863" s="3">
        <v>942</v>
      </c>
      <c r="G863">
        <v>545098</v>
      </c>
      <c r="H863">
        <f t="shared" si="39"/>
        <v>2023</v>
      </c>
      <c r="I863" t="str">
        <f t="shared" si="40"/>
        <v>December</v>
      </c>
      <c r="J863" t="str">
        <f t="shared" si="41"/>
        <v>Q4</v>
      </c>
      <c r="K863" t="str">
        <f>TEXT(checking_account_main[[#This Row],[Date]],"mmm-yyyy")</f>
        <v>Dec-2023</v>
      </c>
      <c r="L863">
        <f>_xlfn.XLOOKUP(checking_account_main[[#This Row],[Month_Year]],checking_account_main[Month_Year],checking_account_main[Balance],"",0,-1)</f>
        <v>554608</v>
      </c>
    </row>
    <row r="864" spans="1:12" x14ac:dyDescent="0.3">
      <c r="A864" s="1">
        <v>45281</v>
      </c>
      <c r="B864" t="s">
        <v>880</v>
      </c>
      <c r="C864" t="s">
        <v>8</v>
      </c>
      <c r="D864" t="s">
        <v>9</v>
      </c>
      <c r="E864" t="s">
        <v>10</v>
      </c>
      <c r="F864" s="3">
        <v>754</v>
      </c>
      <c r="G864">
        <v>545852</v>
      </c>
      <c r="H864">
        <f t="shared" si="39"/>
        <v>2023</v>
      </c>
      <c r="I864" t="str">
        <f t="shared" si="40"/>
        <v>December</v>
      </c>
      <c r="J864" t="str">
        <f t="shared" si="41"/>
        <v>Q4</v>
      </c>
      <c r="K864" t="str">
        <f>TEXT(checking_account_main[[#This Row],[Date]],"mmm-yyyy")</f>
        <v>Dec-2023</v>
      </c>
      <c r="L864">
        <f>_xlfn.XLOOKUP(checking_account_main[[#This Row],[Month_Year]],checking_account_main[Month_Year],checking_account_main[Balance],"",0,-1)</f>
        <v>554608</v>
      </c>
    </row>
    <row r="865" spans="1:12" x14ac:dyDescent="0.3">
      <c r="A865" s="1">
        <v>45282</v>
      </c>
      <c r="B865" t="s">
        <v>881</v>
      </c>
      <c r="C865" t="s">
        <v>8</v>
      </c>
      <c r="D865" t="s">
        <v>9</v>
      </c>
      <c r="E865" t="s">
        <v>10</v>
      </c>
      <c r="F865" s="3">
        <v>872</v>
      </c>
      <c r="G865">
        <v>546724</v>
      </c>
      <c r="H865">
        <f t="shared" si="39"/>
        <v>2023</v>
      </c>
      <c r="I865" t="str">
        <f t="shared" si="40"/>
        <v>December</v>
      </c>
      <c r="J865" t="str">
        <f t="shared" si="41"/>
        <v>Q4</v>
      </c>
      <c r="K865" t="str">
        <f>TEXT(checking_account_main[[#This Row],[Date]],"mmm-yyyy")</f>
        <v>Dec-2023</v>
      </c>
      <c r="L865">
        <f>_xlfn.XLOOKUP(checking_account_main[[#This Row],[Month_Year]],checking_account_main[Month_Year],checking_account_main[Balance],"",0,-1)</f>
        <v>554608</v>
      </c>
    </row>
    <row r="866" spans="1:12" x14ac:dyDescent="0.3">
      <c r="A866" s="1">
        <v>45282</v>
      </c>
      <c r="B866" t="s">
        <v>882</v>
      </c>
      <c r="C866" t="s">
        <v>74</v>
      </c>
      <c r="D866" t="s">
        <v>16</v>
      </c>
      <c r="E866" t="s">
        <v>17</v>
      </c>
      <c r="F866" s="3">
        <v>218</v>
      </c>
      <c r="G866">
        <v>546506</v>
      </c>
      <c r="H866">
        <f t="shared" si="39"/>
        <v>2023</v>
      </c>
      <c r="I866" t="str">
        <f t="shared" si="40"/>
        <v>December</v>
      </c>
      <c r="J866" t="str">
        <f t="shared" si="41"/>
        <v>Q4</v>
      </c>
      <c r="K866" t="str">
        <f>TEXT(checking_account_main[[#This Row],[Date]],"mmm-yyyy")</f>
        <v>Dec-2023</v>
      </c>
      <c r="L866">
        <f>_xlfn.XLOOKUP(checking_account_main[[#This Row],[Month_Year]],checking_account_main[Month_Year],checking_account_main[Balance],"",0,-1)</f>
        <v>554608</v>
      </c>
    </row>
    <row r="867" spans="1:12" x14ac:dyDescent="0.3">
      <c r="A867" s="1">
        <v>45283</v>
      </c>
      <c r="B867" t="s">
        <v>883</v>
      </c>
      <c r="C867" t="s">
        <v>8</v>
      </c>
      <c r="D867" t="s">
        <v>9</v>
      </c>
      <c r="E867" t="s">
        <v>10</v>
      </c>
      <c r="F867" s="3">
        <v>882</v>
      </c>
      <c r="G867">
        <v>547388</v>
      </c>
      <c r="H867">
        <f t="shared" si="39"/>
        <v>2023</v>
      </c>
      <c r="I867" t="str">
        <f t="shared" si="40"/>
        <v>December</v>
      </c>
      <c r="J867" t="str">
        <f t="shared" si="41"/>
        <v>Q4</v>
      </c>
      <c r="K867" t="str">
        <f>TEXT(checking_account_main[[#This Row],[Date]],"mmm-yyyy")</f>
        <v>Dec-2023</v>
      </c>
      <c r="L867">
        <f>_xlfn.XLOOKUP(checking_account_main[[#This Row],[Month_Year]],checking_account_main[Month_Year],checking_account_main[Balance],"",0,-1)</f>
        <v>554608</v>
      </c>
    </row>
    <row r="868" spans="1:12" x14ac:dyDescent="0.3">
      <c r="A868" s="1">
        <v>45283</v>
      </c>
      <c r="B868" t="s">
        <v>884</v>
      </c>
      <c r="C868" t="s">
        <v>47</v>
      </c>
      <c r="D868" t="s">
        <v>29</v>
      </c>
      <c r="E868" t="s">
        <v>17</v>
      </c>
      <c r="F868" s="3">
        <v>399</v>
      </c>
      <c r="G868">
        <v>546989</v>
      </c>
      <c r="H868">
        <f t="shared" si="39"/>
        <v>2023</v>
      </c>
      <c r="I868" t="str">
        <f t="shared" si="40"/>
        <v>December</v>
      </c>
      <c r="J868" t="str">
        <f t="shared" si="41"/>
        <v>Q4</v>
      </c>
      <c r="K868" t="str">
        <f>TEXT(checking_account_main[[#This Row],[Date]],"mmm-yyyy")</f>
        <v>Dec-2023</v>
      </c>
      <c r="L868">
        <f>_xlfn.XLOOKUP(checking_account_main[[#This Row],[Month_Year]],checking_account_main[Month_Year],checking_account_main[Balance],"",0,-1)</f>
        <v>554608</v>
      </c>
    </row>
    <row r="869" spans="1:12" x14ac:dyDescent="0.3">
      <c r="A869" s="1">
        <v>45284</v>
      </c>
      <c r="B869" t="s">
        <v>885</v>
      </c>
      <c r="C869" t="s">
        <v>8</v>
      </c>
      <c r="D869" t="s">
        <v>9</v>
      </c>
      <c r="E869" t="s">
        <v>10</v>
      </c>
      <c r="F869" s="3">
        <v>1153</v>
      </c>
      <c r="G869">
        <v>548142</v>
      </c>
      <c r="H869">
        <f t="shared" si="39"/>
        <v>2023</v>
      </c>
      <c r="I869" t="str">
        <f t="shared" si="40"/>
        <v>December</v>
      </c>
      <c r="J869" t="str">
        <f t="shared" si="41"/>
        <v>Q4</v>
      </c>
      <c r="K869" t="str">
        <f>TEXT(checking_account_main[[#This Row],[Date]],"mmm-yyyy")</f>
        <v>Dec-2023</v>
      </c>
      <c r="L869">
        <f>_xlfn.XLOOKUP(checking_account_main[[#This Row],[Month_Year]],checking_account_main[Month_Year],checking_account_main[Balance],"",0,-1)</f>
        <v>554608</v>
      </c>
    </row>
    <row r="870" spans="1:12" x14ac:dyDescent="0.3">
      <c r="A870" s="1">
        <v>45285</v>
      </c>
      <c r="B870" t="s">
        <v>886</v>
      </c>
      <c r="C870" t="s">
        <v>8</v>
      </c>
      <c r="D870" t="s">
        <v>9</v>
      </c>
      <c r="E870" t="s">
        <v>10</v>
      </c>
      <c r="F870" s="3">
        <v>849</v>
      </c>
      <c r="G870">
        <v>548991</v>
      </c>
      <c r="H870">
        <f t="shared" si="39"/>
        <v>2023</v>
      </c>
      <c r="I870" t="str">
        <f t="shared" si="40"/>
        <v>December</v>
      </c>
      <c r="J870" t="str">
        <f t="shared" si="41"/>
        <v>Q4</v>
      </c>
      <c r="K870" t="str">
        <f>TEXT(checking_account_main[[#This Row],[Date]],"mmm-yyyy")</f>
        <v>Dec-2023</v>
      </c>
      <c r="L870">
        <f>_xlfn.XLOOKUP(checking_account_main[[#This Row],[Month_Year]],checking_account_main[Month_Year],checking_account_main[Balance],"",0,-1)</f>
        <v>554608</v>
      </c>
    </row>
    <row r="871" spans="1:12" x14ac:dyDescent="0.3">
      <c r="A871" s="1">
        <v>45286</v>
      </c>
      <c r="B871" t="s">
        <v>887</v>
      </c>
      <c r="C871" t="s">
        <v>8</v>
      </c>
      <c r="D871" t="s">
        <v>9</v>
      </c>
      <c r="E871" t="s">
        <v>10</v>
      </c>
      <c r="F871" s="3">
        <v>1011</v>
      </c>
      <c r="G871">
        <v>550002</v>
      </c>
      <c r="H871">
        <f t="shared" si="39"/>
        <v>2023</v>
      </c>
      <c r="I871" t="str">
        <f t="shared" si="40"/>
        <v>December</v>
      </c>
      <c r="J871" t="str">
        <f t="shared" si="41"/>
        <v>Q4</v>
      </c>
      <c r="K871" t="str">
        <f>TEXT(checking_account_main[[#This Row],[Date]],"mmm-yyyy")</f>
        <v>Dec-2023</v>
      </c>
      <c r="L871">
        <f>_xlfn.XLOOKUP(checking_account_main[[#This Row],[Month_Year]],checking_account_main[Month_Year],checking_account_main[Balance],"",0,-1)</f>
        <v>554608</v>
      </c>
    </row>
    <row r="872" spans="1:12" x14ac:dyDescent="0.3">
      <c r="A872" s="1">
        <v>45287</v>
      </c>
      <c r="B872" t="s">
        <v>888</v>
      </c>
      <c r="C872" t="s">
        <v>8</v>
      </c>
      <c r="D872" t="s">
        <v>9</v>
      </c>
      <c r="E872" t="s">
        <v>10</v>
      </c>
      <c r="F872" s="3">
        <v>830</v>
      </c>
      <c r="G872">
        <v>550832</v>
      </c>
      <c r="H872">
        <f t="shared" si="39"/>
        <v>2023</v>
      </c>
      <c r="I872" t="str">
        <f t="shared" si="40"/>
        <v>December</v>
      </c>
      <c r="J872" t="str">
        <f t="shared" si="41"/>
        <v>Q4</v>
      </c>
      <c r="K872" t="str">
        <f>TEXT(checking_account_main[[#This Row],[Date]],"mmm-yyyy")</f>
        <v>Dec-2023</v>
      </c>
      <c r="L872">
        <f>_xlfn.XLOOKUP(checking_account_main[[#This Row],[Month_Year]],checking_account_main[Month_Year],checking_account_main[Balance],"",0,-1)</f>
        <v>554608</v>
      </c>
    </row>
    <row r="873" spans="1:12" x14ac:dyDescent="0.3">
      <c r="A873" s="1">
        <v>45287</v>
      </c>
      <c r="B873" t="s">
        <v>889</v>
      </c>
      <c r="C873" t="s">
        <v>15</v>
      </c>
      <c r="D873" t="s">
        <v>16</v>
      </c>
      <c r="E873" t="s">
        <v>17</v>
      </c>
      <c r="F873" s="3">
        <v>342</v>
      </c>
      <c r="G873">
        <v>550490</v>
      </c>
      <c r="H873">
        <f t="shared" si="39"/>
        <v>2023</v>
      </c>
      <c r="I873" t="str">
        <f t="shared" si="40"/>
        <v>December</v>
      </c>
      <c r="J873" t="str">
        <f t="shared" si="41"/>
        <v>Q4</v>
      </c>
      <c r="K873" t="str">
        <f>TEXT(checking_account_main[[#This Row],[Date]],"mmm-yyyy")</f>
        <v>Dec-2023</v>
      </c>
      <c r="L873">
        <f>_xlfn.XLOOKUP(checking_account_main[[#This Row],[Month_Year]],checking_account_main[Month_Year],checking_account_main[Balance],"",0,-1)</f>
        <v>554608</v>
      </c>
    </row>
    <row r="874" spans="1:12" x14ac:dyDescent="0.3">
      <c r="A874" s="1">
        <v>45288</v>
      </c>
      <c r="B874" t="s">
        <v>890</v>
      </c>
      <c r="C874" t="s">
        <v>8</v>
      </c>
      <c r="D874" t="s">
        <v>9</v>
      </c>
      <c r="E874" t="s">
        <v>10</v>
      </c>
      <c r="F874" s="3">
        <v>1144</v>
      </c>
      <c r="G874">
        <v>551634</v>
      </c>
      <c r="H874">
        <f t="shared" si="39"/>
        <v>2023</v>
      </c>
      <c r="I874" t="str">
        <f t="shared" si="40"/>
        <v>December</v>
      </c>
      <c r="J874" t="str">
        <f t="shared" si="41"/>
        <v>Q4</v>
      </c>
      <c r="K874" t="str">
        <f>TEXT(checking_account_main[[#This Row],[Date]],"mmm-yyyy")</f>
        <v>Dec-2023</v>
      </c>
      <c r="L874">
        <f>_xlfn.XLOOKUP(checking_account_main[[#This Row],[Month_Year]],checking_account_main[Month_Year],checking_account_main[Balance],"",0,-1)</f>
        <v>554608</v>
      </c>
    </row>
    <row r="875" spans="1:12" x14ac:dyDescent="0.3">
      <c r="A875" s="1">
        <v>45288</v>
      </c>
      <c r="B875" t="s">
        <v>891</v>
      </c>
      <c r="C875" t="s">
        <v>28</v>
      </c>
      <c r="D875" t="s">
        <v>29</v>
      </c>
      <c r="E875" t="s">
        <v>17</v>
      </c>
      <c r="F875" s="3">
        <v>306</v>
      </c>
      <c r="G875">
        <v>551328</v>
      </c>
      <c r="H875">
        <f t="shared" si="39"/>
        <v>2023</v>
      </c>
      <c r="I875" t="str">
        <f t="shared" si="40"/>
        <v>December</v>
      </c>
      <c r="J875" t="str">
        <f t="shared" si="41"/>
        <v>Q4</v>
      </c>
      <c r="K875" t="str">
        <f>TEXT(checking_account_main[[#This Row],[Date]],"mmm-yyyy")</f>
        <v>Dec-2023</v>
      </c>
      <c r="L875">
        <f>_xlfn.XLOOKUP(checking_account_main[[#This Row],[Month_Year]],checking_account_main[Month_Year],checking_account_main[Balance],"",0,-1)</f>
        <v>554608</v>
      </c>
    </row>
    <row r="876" spans="1:12" x14ac:dyDescent="0.3">
      <c r="A876" s="1">
        <v>45289</v>
      </c>
      <c r="B876" t="s">
        <v>892</v>
      </c>
      <c r="C876" t="s">
        <v>8</v>
      </c>
      <c r="D876" t="s">
        <v>9</v>
      </c>
      <c r="E876" t="s">
        <v>10</v>
      </c>
      <c r="F876" s="3">
        <v>1090</v>
      </c>
      <c r="G876">
        <v>552418</v>
      </c>
      <c r="H876">
        <f t="shared" si="39"/>
        <v>2023</v>
      </c>
      <c r="I876" t="str">
        <f t="shared" si="40"/>
        <v>December</v>
      </c>
      <c r="J876" t="str">
        <f t="shared" si="41"/>
        <v>Q4</v>
      </c>
      <c r="K876" t="str">
        <f>TEXT(checking_account_main[[#This Row],[Date]],"mmm-yyyy")</f>
        <v>Dec-2023</v>
      </c>
      <c r="L876">
        <f>_xlfn.XLOOKUP(checking_account_main[[#This Row],[Month_Year]],checking_account_main[Month_Year],checking_account_main[Balance],"",0,-1)</f>
        <v>554608</v>
      </c>
    </row>
    <row r="877" spans="1:12" x14ac:dyDescent="0.3">
      <c r="A877" s="1">
        <v>45290</v>
      </c>
      <c r="B877" t="s">
        <v>893</v>
      </c>
      <c r="C877" t="s">
        <v>8</v>
      </c>
      <c r="D877" t="s">
        <v>9</v>
      </c>
      <c r="E877" t="s">
        <v>10</v>
      </c>
      <c r="F877" s="3">
        <v>1049</v>
      </c>
      <c r="G877">
        <v>553467</v>
      </c>
      <c r="H877">
        <f t="shared" si="39"/>
        <v>2023</v>
      </c>
      <c r="I877" t="str">
        <f t="shared" si="40"/>
        <v>December</v>
      </c>
      <c r="J877" t="str">
        <f t="shared" si="41"/>
        <v>Q4</v>
      </c>
      <c r="K877" t="str">
        <f>TEXT(checking_account_main[[#This Row],[Date]],"mmm-yyyy")</f>
        <v>Dec-2023</v>
      </c>
      <c r="L877">
        <f>_xlfn.XLOOKUP(checking_account_main[[#This Row],[Month_Year]],checking_account_main[Month_Year],checking_account_main[Balance],"",0,-1)</f>
        <v>554608</v>
      </c>
    </row>
    <row r="878" spans="1:12" x14ac:dyDescent="0.3">
      <c r="A878" s="1">
        <v>45291</v>
      </c>
      <c r="B878" t="s">
        <v>894</v>
      </c>
      <c r="C878" t="s">
        <v>8</v>
      </c>
      <c r="D878" t="s">
        <v>9</v>
      </c>
      <c r="E878" t="s">
        <v>10</v>
      </c>
      <c r="F878" s="3">
        <v>1141</v>
      </c>
      <c r="G878">
        <v>554608</v>
      </c>
      <c r="H878">
        <f t="shared" si="39"/>
        <v>2023</v>
      </c>
      <c r="I878" t="str">
        <f t="shared" si="40"/>
        <v>December</v>
      </c>
      <c r="J878" t="str">
        <f t="shared" si="41"/>
        <v>Q4</v>
      </c>
      <c r="K878" t="str">
        <f>TEXT(checking_account_main[[#This Row],[Date]],"mmm-yyyy")</f>
        <v>Dec-2023</v>
      </c>
      <c r="L878">
        <f>_xlfn.XLOOKUP(checking_account_main[[#This Row],[Month_Year]],checking_account_main[Month_Year],checking_account_main[Balance],"",0,-1)</f>
        <v>554608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83AB-B711-4E95-BD49-B671267815B8}">
  <dimension ref="A1:I49"/>
  <sheetViews>
    <sheetView workbookViewId="0">
      <selection activeCell="I5" sqref="I5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16.109375" bestFit="1" customWidth="1"/>
    <col min="4" max="4" width="10.33203125" bestFit="1" customWidth="1"/>
    <col min="5" max="5" width="6.88671875" bestFit="1" customWidth="1"/>
    <col min="6" max="6" width="9.5546875" bestFit="1" customWidth="1"/>
    <col min="7" max="7" width="9.88671875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1148</v>
      </c>
      <c r="I1" t="s">
        <v>1152</v>
      </c>
    </row>
    <row r="2" spans="1:9" x14ac:dyDescent="0.3">
      <c r="A2" s="1">
        <v>44562</v>
      </c>
      <c r="B2" t="s">
        <v>895</v>
      </c>
      <c r="C2" t="s">
        <v>896</v>
      </c>
      <c r="D2" t="s">
        <v>897</v>
      </c>
      <c r="E2" t="s">
        <v>10</v>
      </c>
      <c r="F2">
        <v>3403</v>
      </c>
      <c r="G2">
        <v>5403</v>
      </c>
      <c r="H2" t="str">
        <f>TEXT(checking_account_secondary[[#This Row],[date]],"mmm-yyyy")</f>
        <v>Jan-2022</v>
      </c>
      <c r="I2">
        <f>_xlfn.XLOOKUP(checking_account_secondary[[#This Row],[Month_Year]],checking_account_secondary[Month_Year],checking_account_secondary[balance],"",0,-1)</f>
        <v>2715</v>
      </c>
    </row>
    <row r="3" spans="1:9" x14ac:dyDescent="0.3">
      <c r="A3" s="1">
        <v>44576</v>
      </c>
      <c r="B3" t="s">
        <v>898</v>
      </c>
      <c r="C3" t="s">
        <v>899</v>
      </c>
      <c r="D3" t="s">
        <v>900</v>
      </c>
      <c r="E3" t="s">
        <v>17</v>
      </c>
      <c r="F3">
        <v>2688</v>
      </c>
      <c r="G3">
        <v>2715</v>
      </c>
      <c r="H3" t="str">
        <f>TEXT(checking_account_secondary[[#This Row],[date]],"mmm-yyyy")</f>
        <v>Jan-2022</v>
      </c>
      <c r="I3">
        <f>_xlfn.XLOOKUP(checking_account_secondary[[#This Row],[Month_Year]],checking_account_secondary[Month_Year],checking_account_secondary[balance],"",0,-1)</f>
        <v>2715</v>
      </c>
    </row>
    <row r="4" spans="1:9" x14ac:dyDescent="0.3">
      <c r="A4" s="1">
        <v>44593</v>
      </c>
      <c r="B4" t="s">
        <v>901</v>
      </c>
      <c r="C4" t="s">
        <v>896</v>
      </c>
      <c r="D4" t="s">
        <v>897</v>
      </c>
      <c r="E4" t="s">
        <v>10</v>
      </c>
      <c r="F4">
        <v>5779</v>
      </c>
      <c r="G4">
        <v>8494</v>
      </c>
      <c r="H4" t="str">
        <f>TEXT(checking_account_secondary[[#This Row],[date]],"mmm-yyyy")</f>
        <v>Feb-2022</v>
      </c>
      <c r="I4">
        <f>_xlfn.XLOOKUP(checking_account_secondary[[#This Row],[Month_Year]],checking_account_secondary[Month_Year],checking_account_secondary[balance],"",0,-1)</f>
        <v>3278</v>
      </c>
    </row>
    <row r="5" spans="1:9" x14ac:dyDescent="0.3">
      <c r="A5" s="1">
        <v>44607</v>
      </c>
      <c r="B5" t="s">
        <v>902</v>
      </c>
      <c r="C5" t="s">
        <v>899</v>
      </c>
      <c r="D5" t="s">
        <v>900</v>
      </c>
      <c r="E5" t="s">
        <v>17</v>
      </c>
      <c r="F5">
        <v>5216</v>
      </c>
      <c r="G5">
        <v>3278</v>
      </c>
      <c r="H5" t="str">
        <f>TEXT(checking_account_secondary[[#This Row],[date]],"mmm-yyyy")</f>
        <v>Feb-2022</v>
      </c>
      <c r="I5">
        <f>_xlfn.XLOOKUP(checking_account_secondary[[#This Row],[Month_Year]],checking_account_secondary[Month_Year],checking_account_secondary[balance],"",0,-1)</f>
        <v>3278</v>
      </c>
    </row>
    <row r="6" spans="1:9" x14ac:dyDescent="0.3">
      <c r="A6" s="1">
        <v>44621</v>
      </c>
      <c r="B6" t="s">
        <v>903</v>
      </c>
      <c r="C6" t="s">
        <v>896</v>
      </c>
      <c r="D6" t="s">
        <v>897</v>
      </c>
      <c r="E6" t="s">
        <v>10</v>
      </c>
      <c r="F6">
        <v>5579</v>
      </c>
      <c r="G6">
        <v>8857</v>
      </c>
      <c r="H6" t="str">
        <f>TEXT(checking_account_secondary[[#This Row],[date]],"mmm-yyyy")</f>
        <v>Mar-2022</v>
      </c>
      <c r="I6">
        <f>_xlfn.XLOOKUP(checking_account_secondary[[#This Row],[Month_Year]],checking_account_secondary[Month_Year],checking_account_secondary[balance],"",0,-1)</f>
        <v>3629</v>
      </c>
    </row>
    <row r="7" spans="1:9" x14ac:dyDescent="0.3">
      <c r="A7" s="1">
        <v>44635</v>
      </c>
      <c r="B7" t="s">
        <v>904</v>
      </c>
      <c r="C7" t="s">
        <v>899</v>
      </c>
      <c r="D7" t="s">
        <v>900</v>
      </c>
      <c r="E7" t="s">
        <v>17</v>
      </c>
      <c r="F7">
        <v>5228</v>
      </c>
      <c r="G7">
        <v>3629</v>
      </c>
      <c r="H7" t="str">
        <f>TEXT(checking_account_secondary[[#This Row],[date]],"mmm-yyyy")</f>
        <v>Mar-2022</v>
      </c>
      <c r="I7">
        <f>_xlfn.XLOOKUP(checking_account_secondary[[#This Row],[Month_Year]],checking_account_secondary[Month_Year],checking_account_secondary[balance],"",0,-1)</f>
        <v>3629</v>
      </c>
    </row>
    <row r="8" spans="1:9" x14ac:dyDescent="0.3">
      <c r="A8" s="1">
        <v>44652</v>
      </c>
      <c r="B8" t="s">
        <v>905</v>
      </c>
      <c r="C8" t="s">
        <v>896</v>
      </c>
      <c r="D8" t="s">
        <v>897</v>
      </c>
      <c r="E8" t="s">
        <v>10</v>
      </c>
      <c r="F8">
        <v>4712</v>
      </c>
      <c r="G8">
        <v>8341</v>
      </c>
      <c r="H8" t="str">
        <f>TEXT(checking_account_secondary[[#This Row],[date]],"mmm-yyyy")</f>
        <v>Apr-2022</v>
      </c>
      <c r="I8">
        <f>_xlfn.XLOOKUP(checking_account_secondary[[#This Row],[Month_Year]],checking_account_secondary[Month_Year],checking_account_secondary[balance],"",0,-1)</f>
        <v>4248</v>
      </c>
    </row>
    <row r="9" spans="1:9" x14ac:dyDescent="0.3">
      <c r="A9" s="1">
        <v>44666</v>
      </c>
      <c r="B9" t="s">
        <v>906</v>
      </c>
      <c r="C9" t="s">
        <v>899</v>
      </c>
      <c r="D9" t="s">
        <v>900</v>
      </c>
      <c r="E9" t="s">
        <v>17</v>
      </c>
      <c r="F9">
        <v>4093</v>
      </c>
      <c r="G9">
        <v>4248</v>
      </c>
      <c r="H9" t="str">
        <f>TEXT(checking_account_secondary[[#This Row],[date]],"mmm-yyyy")</f>
        <v>Apr-2022</v>
      </c>
      <c r="I9">
        <f>_xlfn.XLOOKUP(checking_account_secondary[[#This Row],[Month_Year]],checking_account_secondary[Month_Year],checking_account_secondary[balance],"",0,-1)</f>
        <v>4248</v>
      </c>
    </row>
    <row r="10" spans="1:9" x14ac:dyDescent="0.3">
      <c r="A10" s="1">
        <v>44682</v>
      </c>
      <c r="B10" t="s">
        <v>907</v>
      </c>
      <c r="C10" t="s">
        <v>896</v>
      </c>
      <c r="D10" t="s">
        <v>897</v>
      </c>
      <c r="E10" t="s">
        <v>10</v>
      </c>
      <c r="F10">
        <v>4273</v>
      </c>
      <c r="G10">
        <v>8521</v>
      </c>
      <c r="H10" t="str">
        <f>TEXT(checking_account_secondary[[#This Row],[date]],"mmm-yyyy")</f>
        <v>May-2022</v>
      </c>
      <c r="I10">
        <f>_xlfn.XLOOKUP(checking_account_secondary[[#This Row],[Month_Year]],checking_account_secondary[Month_Year],checking_account_secondary[balance],"",0,-1)</f>
        <v>4564</v>
      </c>
    </row>
    <row r="11" spans="1:9" x14ac:dyDescent="0.3">
      <c r="A11" s="1">
        <v>44696</v>
      </c>
      <c r="B11" t="s">
        <v>908</v>
      </c>
      <c r="C11" t="s">
        <v>899</v>
      </c>
      <c r="D11" t="s">
        <v>900</v>
      </c>
      <c r="E11" t="s">
        <v>17</v>
      </c>
      <c r="F11">
        <v>3957</v>
      </c>
      <c r="G11">
        <v>4564</v>
      </c>
      <c r="H11" t="str">
        <f>TEXT(checking_account_secondary[[#This Row],[date]],"mmm-yyyy")</f>
        <v>May-2022</v>
      </c>
      <c r="I11">
        <f>_xlfn.XLOOKUP(checking_account_secondary[[#This Row],[Month_Year]],checking_account_secondary[Month_Year],checking_account_secondary[balance],"",0,-1)</f>
        <v>4564</v>
      </c>
    </row>
    <row r="12" spans="1:9" x14ac:dyDescent="0.3">
      <c r="A12" s="1">
        <v>44713</v>
      </c>
      <c r="B12" t="s">
        <v>909</v>
      </c>
      <c r="C12" t="s">
        <v>896</v>
      </c>
      <c r="D12" t="s">
        <v>897</v>
      </c>
      <c r="E12" t="s">
        <v>10</v>
      </c>
      <c r="F12">
        <v>5913</v>
      </c>
      <c r="G12">
        <v>10477</v>
      </c>
      <c r="H12" t="str">
        <f>TEXT(checking_account_secondary[[#This Row],[date]],"mmm-yyyy")</f>
        <v>Jun-2022</v>
      </c>
      <c r="I12">
        <f>_xlfn.XLOOKUP(checking_account_secondary[[#This Row],[Month_Year]],checking_account_secondary[Month_Year],checking_account_secondary[balance],"",0,-1)</f>
        <v>5275</v>
      </c>
    </row>
    <row r="13" spans="1:9" x14ac:dyDescent="0.3">
      <c r="A13" s="1">
        <v>44727</v>
      </c>
      <c r="B13" t="s">
        <v>910</v>
      </c>
      <c r="C13" t="s">
        <v>899</v>
      </c>
      <c r="D13" t="s">
        <v>900</v>
      </c>
      <c r="E13" t="s">
        <v>17</v>
      </c>
      <c r="F13">
        <v>5202</v>
      </c>
      <c r="G13">
        <v>5275</v>
      </c>
      <c r="H13" t="str">
        <f>TEXT(checking_account_secondary[[#This Row],[date]],"mmm-yyyy")</f>
        <v>Jun-2022</v>
      </c>
      <c r="I13">
        <f>_xlfn.XLOOKUP(checking_account_secondary[[#This Row],[Month_Year]],checking_account_secondary[Month_Year],checking_account_secondary[balance],"",0,-1)</f>
        <v>5275</v>
      </c>
    </row>
    <row r="14" spans="1:9" x14ac:dyDescent="0.3">
      <c r="A14" s="1">
        <v>44743</v>
      </c>
      <c r="B14" t="s">
        <v>911</v>
      </c>
      <c r="C14" t="s">
        <v>896</v>
      </c>
      <c r="D14" t="s">
        <v>897</v>
      </c>
      <c r="E14" t="s">
        <v>10</v>
      </c>
      <c r="F14">
        <v>5625</v>
      </c>
      <c r="G14">
        <v>10900</v>
      </c>
      <c r="H14" t="str">
        <f>TEXT(checking_account_secondary[[#This Row],[date]],"mmm-yyyy")</f>
        <v>Jul-2022</v>
      </c>
      <c r="I14">
        <f>_xlfn.XLOOKUP(checking_account_secondary[[#This Row],[Month_Year]],checking_account_secondary[Month_Year],checking_account_secondary[balance],"",0,-1)</f>
        <v>5809</v>
      </c>
    </row>
    <row r="15" spans="1:9" x14ac:dyDescent="0.3">
      <c r="A15" s="1">
        <v>44757</v>
      </c>
      <c r="B15" t="s">
        <v>912</v>
      </c>
      <c r="C15" t="s">
        <v>899</v>
      </c>
      <c r="D15" t="s">
        <v>900</v>
      </c>
      <c r="E15" t="s">
        <v>17</v>
      </c>
      <c r="F15">
        <v>5091</v>
      </c>
      <c r="G15">
        <v>5809</v>
      </c>
      <c r="H15" t="str">
        <f>TEXT(checking_account_secondary[[#This Row],[date]],"mmm-yyyy")</f>
        <v>Jul-2022</v>
      </c>
      <c r="I15">
        <f>_xlfn.XLOOKUP(checking_account_secondary[[#This Row],[Month_Year]],checking_account_secondary[Month_Year],checking_account_secondary[balance],"",0,-1)</f>
        <v>5809</v>
      </c>
    </row>
    <row r="16" spans="1:9" x14ac:dyDescent="0.3">
      <c r="A16" s="1">
        <v>44774</v>
      </c>
      <c r="B16" t="s">
        <v>913</v>
      </c>
      <c r="C16" t="s">
        <v>896</v>
      </c>
      <c r="D16" t="s">
        <v>897</v>
      </c>
      <c r="E16" t="s">
        <v>10</v>
      </c>
      <c r="F16">
        <v>4441</v>
      </c>
      <c r="G16">
        <v>10250</v>
      </c>
      <c r="H16" t="str">
        <f>TEXT(checking_account_secondary[[#This Row],[date]],"mmm-yyyy")</f>
        <v>Aug-2022</v>
      </c>
      <c r="I16">
        <f>_xlfn.XLOOKUP(checking_account_secondary[[#This Row],[Month_Year]],checking_account_secondary[Month_Year],checking_account_secondary[balance],"",0,-1)</f>
        <v>6303</v>
      </c>
    </row>
    <row r="17" spans="1:9" x14ac:dyDescent="0.3">
      <c r="A17" s="1">
        <v>44788</v>
      </c>
      <c r="B17" t="s">
        <v>914</v>
      </c>
      <c r="C17" t="s">
        <v>899</v>
      </c>
      <c r="D17" t="s">
        <v>900</v>
      </c>
      <c r="E17" t="s">
        <v>17</v>
      </c>
      <c r="F17">
        <v>3947</v>
      </c>
      <c r="G17">
        <v>6303</v>
      </c>
      <c r="H17" t="str">
        <f>TEXT(checking_account_secondary[[#This Row],[date]],"mmm-yyyy")</f>
        <v>Aug-2022</v>
      </c>
      <c r="I17">
        <f>_xlfn.XLOOKUP(checking_account_secondary[[#This Row],[Month_Year]],checking_account_secondary[Month_Year],checking_account_secondary[balance],"",0,-1)</f>
        <v>6303</v>
      </c>
    </row>
    <row r="18" spans="1:9" x14ac:dyDescent="0.3">
      <c r="A18" s="1">
        <v>44805</v>
      </c>
      <c r="B18" t="s">
        <v>915</v>
      </c>
      <c r="C18" t="s">
        <v>896</v>
      </c>
      <c r="D18" t="s">
        <v>897</v>
      </c>
      <c r="E18" t="s">
        <v>10</v>
      </c>
      <c r="F18">
        <v>3754</v>
      </c>
      <c r="G18">
        <v>10057</v>
      </c>
      <c r="H18" t="str">
        <f>TEXT(checking_account_secondary[[#This Row],[date]],"mmm-yyyy")</f>
        <v>Sep-2022</v>
      </c>
      <c r="I18">
        <f>_xlfn.XLOOKUP(checking_account_secondary[[#This Row],[Month_Year]],checking_account_secondary[Month_Year],checking_account_secondary[balance],"",0,-1)</f>
        <v>6873</v>
      </c>
    </row>
    <row r="19" spans="1:9" x14ac:dyDescent="0.3">
      <c r="A19" s="1">
        <v>44819</v>
      </c>
      <c r="B19" t="s">
        <v>916</v>
      </c>
      <c r="C19" t="s">
        <v>899</v>
      </c>
      <c r="D19" t="s">
        <v>900</v>
      </c>
      <c r="E19" t="s">
        <v>17</v>
      </c>
      <c r="F19">
        <v>3184</v>
      </c>
      <c r="G19">
        <v>6873</v>
      </c>
      <c r="H19" t="str">
        <f>TEXT(checking_account_secondary[[#This Row],[date]],"mmm-yyyy")</f>
        <v>Sep-2022</v>
      </c>
      <c r="I19">
        <f>_xlfn.XLOOKUP(checking_account_secondary[[#This Row],[Month_Year]],checking_account_secondary[Month_Year],checking_account_secondary[balance],"",0,-1)</f>
        <v>6873</v>
      </c>
    </row>
    <row r="20" spans="1:9" x14ac:dyDescent="0.3">
      <c r="A20" s="1">
        <v>44835</v>
      </c>
      <c r="B20" t="s">
        <v>917</v>
      </c>
      <c r="C20" t="s">
        <v>896</v>
      </c>
      <c r="D20" t="s">
        <v>897</v>
      </c>
      <c r="E20" t="s">
        <v>10</v>
      </c>
      <c r="F20">
        <v>3185</v>
      </c>
      <c r="G20">
        <v>10058</v>
      </c>
      <c r="H20" t="str">
        <f>TEXT(checking_account_secondary[[#This Row],[date]],"mmm-yyyy")</f>
        <v>Oct-2022</v>
      </c>
      <c r="I20">
        <f>_xlfn.XLOOKUP(checking_account_secondary[[#This Row],[Month_Year]],checking_account_secondary[Month_Year],checking_account_secondary[balance],"",0,-1)</f>
        <v>7318</v>
      </c>
    </row>
    <row r="21" spans="1:9" x14ac:dyDescent="0.3">
      <c r="A21" s="1">
        <v>44849</v>
      </c>
      <c r="B21" t="s">
        <v>918</v>
      </c>
      <c r="C21" t="s">
        <v>899</v>
      </c>
      <c r="D21" t="s">
        <v>900</v>
      </c>
      <c r="E21" t="s">
        <v>17</v>
      </c>
      <c r="F21">
        <v>2740</v>
      </c>
      <c r="G21">
        <v>7318</v>
      </c>
      <c r="H21" t="str">
        <f>TEXT(checking_account_secondary[[#This Row],[date]],"mmm-yyyy")</f>
        <v>Oct-2022</v>
      </c>
      <c r="I21">
        <f>_xlfn.XLOOKUP(checking_account_secondary[[#This Row],[Month_Year]],checking_account_secondary[Month_Year],checking_account_secondary[balance],"",0,-1)</f>
        <v>7318</v>
      </c>
    </row>
    <row r="22" spans="1:9" x14ac:dyDescent="0.3">
      <c r="A22" s="1">
        <v>44866</v>
      </c>
      <c r="B22" t="s">
        <v>919</v>
      </c>
      <c r="C22" t="s">
        <v>896</v>
      </c>
      <c r="D22" t="s">
        <v>897</v>
      </c>
      <c r="E22" t="s">
        <v>10</v>
      </c>
      <c r="F22">
        <v>3636</v>
      </c>
      <c r="G22">
        <v>10954</v>
      </c>
      <c r="H22" t="str">
        <f>TEXT(checking_account_secondary[[#This Row],[date]],"mmm-yyyy")</f>
        <v>Nov-2022</v>
      </c>
      <c r="I22">
        <f>_xlfn.XLOOKUP(checking_account_secondary[[#This Row],[Month_Year]],checking_account_secondary[Month_Year],checking_account_secondary[balance],"",0,-1)</f>
        <v>7785</v>
      </c>
    </row>
    <row r="23" spans="1:9" x14ac:dyDescent="0.3">
      <c r="A23" s="1">
        <v>44880</v>
      </c>
      <c r="B23" t="s">
        <v>920</v>
      </c>
      <c r="C23" t="s">
        <v>899</v>
      </c>
      <c r="D23" t="s">
        <v>900</v>
      </c>
      <c r="E23" t="s">
        <v>17</v>
      </c>
      <c r="F23">
        <v>3169</v>
      </c>
      <c r="G23">
        <v>7785</v>
      </c>
      <c r="H23" t="str">
        <f>TEXT(checking_account_secondary[[#This Row],[date]],"mmm-yyyy")</f>
        <v>Nov-2022</v>
      </c>
      <c r="I23">
        <f>_xlfn.XLOOKUP(checking_account_secondary[[#This Row],[Month_Year]],checking_account_secondary[Month_Year],checking_account_secondary[balance],"",0,-1)</f>
        <v>7785</v>
      </c>
    </row>
    <row r="24" spans="1:9" x14ac:dyDescent="0.3">
      <c r="A24" s="1">
        <v>44896</v>
      </c>
      <c r="B24" t="s">
        <v>921</v>
      </c>
      <c r="C24" t="s">
        <v>896</v>
      </c>
      <c r="D24" t="s">
        <v>897</v>
      </c>
      <c r="E24" t="s">
        <v>10</v>
      </c>
      <c r="F24">
        <v>3529</v>
      </c>
      <c r="G24">
        <v>11314</v>
      </c>
      <c r="H24" t="str">
        <f>TEXT(checking_account_secondary[[#This Row],[date]],"mmm-yyyy")</f>
        <v>Dec-2022</v>
      </c>
      <c r="I24">
        <f>_xlfn.XLOOKUP(checking_account_secondary[[#This Row],[Month_Year]],checking_account_secondary[Month_Year],checking_account_secondary[balance],"",0,-1)</f>
        <v>8536</v>
      </c>
    </row>
    <row r="25" spans="1:9" x14ac:dyDescent="0.3">
      <c r="A25" s="1">
        <v>44910</v>
      </c>
      <c r="B25" t="s">
        <v>922</v>
      </c>
      <c r="C25" t="s">
        <v>899</v>
      </c>
      <c r="D25" t="s">
        <v>900</v>
      </c>
      <c r="E25" t="s">
        <v>17</v>
      </c>
      <c r="F25">
        <v>2778</v>
      </c>
      <c r="G25">
        <v>8536</v>
      </c>
      <c r="H25" t="str">
        <f>TEXT(checking_account_secondary[[#This Row],[date]],"mmm-yyyy")</f>
        <v>Dec-2022</v>
      </c>
      <c r="I25">
        <f>_xlfn.XLOOKUP(checking_account_secondary[[#This Row],[Month_Year]],checking_account_secondary[Month_Year],checking_account_secondary[balance],"",0,-1)</f>
        <v>8536</v>
      </c>
    </row>
    <row r="26" spans="1:9" x14ac:dyDescent="0.3">
      <c r="A26" s="1">
        <v>44927</v>
      </c>
      <c r="B26" t="s">
        <v>923</v>
      </c>
      <c r="C26" t="s">
        <v>896</v>
      </c>
      <c r="D26" t="s">
        <v>897</v>
      </c>
      <c r="E26" t="s">
        <v>10</v>
      </c>
      <c r="F26">
        <v>5068</v>
      </c>
      <c r="G26">
        <v>13604</v>
      </c>
      <c r="H26" t="str">
        <f>TEXT(checking_account_secondary[[#This Row],[date]],"mmm-yyyy")</f>
        <v>Jan-2023</v>
      </c>
      <c r="I26">
        <f>_xlfn.XLOOKUP(checking_account_secondary[[#This Row],[Month_Year]],checking_account_secondary[Month_Year],checking_account_secondary[balance],"",0,-1)</f>
        <v>9255</v>
      </c>
    </row>
    <row r="27" spans="1:9" x14ac:dyDescent="0.3">
      <c r="A27" s="1">
        <v>44941</v>
      </c>
      <c r="B27" t="s">
        <v>924</v>
      </c>
      <c r="C27" t="s">
        <v>899</v>
      </c>
      <c r="D27" t="s">
        <v>900</v>
      </c>
      <c r="E27" t="s">
        <v>17</v>
      </c>
      <c r="F27">
        <v>4349</v>
      </c>
      <c r="G27">
        <v>9255</v>
      </c>
      <c r="H27" t="str">
        <f>TEXT(checking_account_secondary[[#This Row],[date]],"mmm-yyyy")</f>
        <v>Jan-2023</v>
      </c>
      <c r="I27">
        <f>_xlfn.XLOOKUP(checking_account_secondary[[#This Row],[Month_Year]],checking_account_secondary[Month_Year],checking_account_secondary[balance],"",0,-1)</f>
        <v>9255</v>
      </c>
    </row>
    <row r="28" spans="1:9" x14ac:dyDescent="0.3">
      <c r="A28" s="1">
        <v>44958</v>
      </c>
      <c r="B28" t="s">
        <v>925</v>
      </c>
      <c r="C28" t="s">
        <v>896</v>
      </c>
      <c r="D28" t="s">
        <v>897</v>
      </c>
      <c r="E28" t="s">
        <v>10</v>
      </c>
      <c r="F28">
        <v>5147</v>
      </c>
      <c r="G28">
        <v>14402</v>
      </c>
      <c r="H28" t="str">
        <f>TEXT(checking_account_secondary[[#This Row],[date]],"mmm-yyyy")</f>
        <v>Feb-2023</v>
      </c>
      <c r="I28">
        <f>_xlfn.XLOOKUP(checking_account_secondary[[#This Row],[Month_Year]],checking_account_secondary[Month_Year],checking_account_secondary[balance],"",0,-1)</f>
        <v>9932</v>
      </c>
    </row>
    <row r="29" spans="1:9" x14ac:dyDescent="0.3">
      <c r="A29" s="1">
        <v>44972</v>
      </c>
      <c r="B29" t="s">
        <v>926</v>
      </c>
      <c r="C29" t="s">
        <v>899</v>
      </c>
      <c r="D29" t="s">
        <v>900</v>
      </c>
      <c r="E29" t="s">
        <v>17</v>
      </c>
      <c r="F29">
        <v>4470</v>
      </c>
      <c r="G29">
        <v>9932</v>
      </c>
      <c r="H29" t="str">
        <f>TEXT(checking_account_secondary[[#This Row],[date]],"mmm-yyyy")</f>
        <v>Feb-2023</v>
      </c>
      <c r="I29">
        <f>_xlfn.XLOOKUP(checking_account_secondary[[#This Row],[Month_Year]],checking_account_secondary[Month_Year],checking_account_secondary[balance],"",0,-1)</f>
        <v>9932</v>
      </c>
    </row>
    <row r="30" spans="1:9" x14ac:dyDescent="0.3">
      <c r="A30" s="1">
        <v>44986</v>
      </c>
      <c r="B30" t="s">
        <v>927</v>
      </c>
      <c r="C30" t="s">
        <v>896</v>
      </c>
      <c r="D30" t="s">
        <v>897</v>
      </c>
      <c r="E30" t="s">
        <v>10</v>
      </c>
      <c r="F30">
        <v>4622</v>
      </c>
      <c r="G30">
        <v>14554</v>
      </c>
      <c r="H30" t="str">
        <f>TEXT(checking_account_secondary[[#This Row],[date]],"mmm-yyyy")</f>
        <v>Mar-2023</v>
      </c>
      <c r="I30">
        <f>_xlfn.XLOOKUP(checking_account_secondary[[#This Row],[Month_Year]],checking_account_secondary[Month_Year],checking_account_secondary[balance],"",0,-1)</f>
        <v>10429</v>
      </c>
    </row>
    <row r="31" spans="1:9" x14ac:dyDescent="0.3">
      <c r="A31" s="1">
        <v>45000</v>
      </c>
      <c r="B31" t="s">
        <v>928</v>
      </c>
      <c r="C31" t="s">
        <v>899</v>
      </c>
      <c r="D31" t="s">
        <v>900</v>
      </c>
      <c r="E31" t="s">
        <v>17</v>
      </c>
      <c r="F31">
        <v>4125</v>
      </c>
      <c r="G31">
        <v>10429</v>
      </c>
      <c r="H31" t="str">
        <f>TEXT(checking_account_secondary[[#This Row],[date]],"mmm-yyyy")</f>
        <v>Mar-2023</v>
      </c>
      <c r="I31">
        <f>_xlfn.XLOOKUP(checking_account_secondary[[#This Row],[Month_Year]],checking_account_secondary[Month_Year],checking_account_secondary[balance],"",0,-1)</f>
        <v>10429</v>
      </c>
    </row>
    <row r="32" spans="1:9" x14ac:dyDescent="0.3">
      <c r="A32" s="1">
        <v>45017</v>
      </c>
      <c r="B32" t="s">
        <v>929</v>
      </c>
      <c r="C32" t="s">
        <v>896</v>
      </c>
      <c r="D32" t="s">
        <v>897</v>
      </c>
      <c r="E32" t="s">
        <v>10</v>
      </c>
      <c r="F32">
        <v>3939</v>
      </c>
      <c r="G32">
        <v>14368</v>
      </c>
      <c r="H32" t="str">
        <f>TEXT(checking_account_secondary[[#This Row],[date]],"mmm-yyyy")</f>
        <v>Apr-2023</v>
      </c>
      <c r="I32">
        <f>_xlfn.XLOOKUP(checking_account_secondary[[#This Row],[Month_Year]],checking_account_secondary[Month_Year],checking_account_secondary[balance],"",0,-1)</f>
        <v>11154</v>
      </c>
    </row>
    <row r="33" spans="1:9" x14ac:dyDescent="0.3">
      <c r="A33" s="1">
        <v>45031</v>
      </c>
      <c r="B33" t="s">
        <v>930</v>
      </c>
      <c r="C33" t="s">
        <v>899</v>
      </c>
      <c r="D33" t="s">
        <v>900</v>
      </c>
      <c r="E33" t="s">
        <v>17</v>
      </c>
      <c r="F33">
        <v>3214</v>
      </c>
      <c r="G33">
        <v>11154</v>
      </c>
      <c r="H33" t="str">
        <f>TEXT(checking_account_secondary[[#This Row],[date]],"mmm-yyyy")</f>
        <v>Apr-2023</v>
      </c>
      <c r="I33">
        <f>_xlfn.XLOOKUP(checking_account_secondary[[#This Row],[Month_Year]],checking_account_secondary[Month_Year],checking_account_secondary[balance],"",0,-1)</f>
        <v>11154</v>
      </c>
    </row>
    <row r="34" spans="1:9" x14ac:dyDescent="0.3">
      <c r="A34" s="1">
        <v>45047</v>
      </c>
      <c r="B34" t="s">
        <v>931</v>
      </c>
      <c r="C34" t="s">
        <v>896</v>
      </c>
      <c r="D34" t="s">
        <v>897</v>
      </c>
      <c r="E34" t="s">
        <v>10</v>
      </c>
      <c r="F34">
        <v>5381</v>
      </c>
      <c r="G34">
        <v>16535</v>
      </c>
      <c r="H34" t="str">
        <f>TEXT(checking_account_secondary[[#This Row],[date]],"mmm-yyyy")</f>
        <v>May-2023</v>
      </c>
      <c r="I34">
        <f>_xlfn.XLOOKUP(checking_account_secondary[[#This Row],[Month_Year]],checking_account_secondary[Month_Year],checking_account_secondary[balance],"",0,-1)</f>
        <v>11355</v>
      </c>
    </row>
    <row r="35" spans="1:9" x14ac:dyDescent="0.3">
      <c r="A35" s="1">
        <v>45061</v>
      </c>
      <c r="B35" t="s">
        <v>932</v>
      </c>
      <c r="C35" t="s">
        <v>899</v>
      </c>
      <c r="D35" t="s">
        <v>900</v>
      </c>
      <c r="E35" t="s">
        <v>17</v>
      </c>
      <c r="F35">
        <v>5180</v>
      </c>
      <c r="G35">
        <v>11355</v>
      </c>
      <c r="H35" t="str">
        <f>TEXT(checking_account_secondary[[#This Row],[date]],"mmm-yyyy")</f>
        <v>May-2023</v>
      </c>
      <c r="I35">
        <f>_xlfn.XLOOKUP(checking_account_secondary[[#This Row],[Month_Year]],checking_account_secondary[Month_Year],checking_account_secondary[balance],"",0,-1)</f>
        <v>11355</v>
      </c>
    </row>
    <row r="36" spans="1:9" x14ac:dyDescent="0.3">
      <c r="A36" s="1">
        <v>45078</v>
      </c>
      <c r="B36" t="s">
        <v>933</v>
      </c>
      <c r="C36" t="s">
        <v>896</v>
      </c>
      <c r="D36" t="s">
        <v>897</v>
      </c>
      <c r="E36" t="s">
        <v>10</v>
      </c>
      <c r="F36">
        <v>3374</v>
      </c>
      <c r="G36">
        <v>14729</v>
      </c>
      <c r="H36" t="str">
        <f>TEXT(checking_account_secondary[[#This Row],[date]],"mmm-yyyy")</f>
        <v>Jun-2023</v>
      </c>
      <c r="I36">
        <f>_xlfn.XLOOKUP(checking_account_secondary[[#This Row],[Month_Year]],checking_account_secondary[Month_Year],checking_account_secondary[balance],"",0,-1)</f>
        <v>11847</v>
      </c>
    </row>
    <row r="37" spans="1:9" x14ac:dyDescent="0.3">
      <c r="A37" s="1">
        <v>45092</v>
      </c>
      <c r="B37" t="s">
        <v>934</v>
      </c>
      <c r="C37" t="s">
        <v>899</v>
      </c>
      <c r="D37" t="s">
        <v>900</v>
      </c>
      <c r="E37" t="s">
        <v>17</v>
      </c>
      <c r="F37">
        <v>2882</v>
      </c>
      <c r="G37">
        <v>11847</v>
      </c>
      <c r="H37" t="str">
        <f>TEXT(checking_account_secondary[[#This Row],[date]],"mmm-yyyy")</f>
        <v>Jun-2023</v>
      </c>
      <c r="I37">
        <f>_xlfn.XLOOKUP(checking_account_secondary[[#This Row],[Month_Year]],checking_account_secondary[Month_Year],checking_account_secondary[balance],"",0,-1)</f>
        <v>11847</v>
      </c>
    </row>
    <row r="38" spans="1:9" x14ac:dyDescent="0.3">
      <c r="A38" s="1">
        <v>45108</v>
      </c>
      <c r="B38" t="s">
        <v>935</v>
      </c>
      <c r="C38" t="s">
        <v>896</v>
      </c>
      <c r="D38" t="s">
        <v>897</v>
      </c>
      <c r="E38" t="s">
        <v>10</v>
      </c>
      <c r="F38">
        <v>5884</v>
      </c>
      <c r="G38">
        <v>17731</v>
      </c>
      <c r="H38" t="str">
        <f>TEXT(checking_account_secondary[[#This Row],[date]],"mmm-yyyy")</f>
        <v>Jul-2023</v>
      </c>
      <c r="I38">
        <f>_xlfn.XLOOKUP(checking_account_secondary[[#This Row],[Month_Year]],checking_account_secondary[Month_Year],checking_account_secondary[balance],"",0,-1)</f>
        <v>12599</v>
      </c>
    </row>
    <row r="39" spans="1:9" x14ac:dyDescent="0.3">
      <c r="A39" s="1">
        <v>45122</v>
      </c>
      <c r="B39" t="s">
        <v>936</v>
      </c>
      <c r="C39" t="s">
        <v>899</v>
      </c>
      <c r="D39" t="s">
        <v>900</v>
      </c>
      <c r="E39" t="s">
        <v>17</v>
      </c>
      <c r="F39">
        <v>5132</v>
      </c>
      <c r="G39">
        <v>12599</v>
      </c>
      <c r="H39" t="str">
        <f>TEXT(checking_account_secondary[[#This Row],[date]],"mmm-yyyy")</f>
        <v>Jul-2023</v>
      </c>
      <c r="I39">
        <f>_xlfn.XLOOKUP(checking_account_secondary[[#This Row],[Month_Year]],checking_account_secondary[Month_Year],checking_account_secondary[balance],"",0,-1)</f>
        <v>12599</v>
      </c>
    </row>
    <row r="40" spans="1:9" x14ac:dyDescent="0.3">
      <c r="A40" s="1">
        <v>45139</v>
      </c>
      <c r="B40" t="s">
        <v>937</v>
      </c>
      <c r="C40" t="s">
        <v>896</v>
      </c>
      <c r="D40" t="s">
        <v>897</v>
      </c>
      <c r="E40" t="s">
        <v>10</v>
      </c>
      <c r="F40">
        <v>5365</v>
      </c>
      <c r="G40">
        <v>17964</v>
      </c>
      <c r="H40" t="str">
        <f>TEXT(checking_account_secondary[[#This Row],[date]],"mmm-yyyy")</f>
        <v>Aug-2023</v>
      </c>
      <c r="I40">
        <f>_xlfn.XLOOKUP(checking_account_secondary[[#This Row],[Month_Year]],checking_account_secondary[Month_Year],checking_account_secondary[balance],"",0,-1)</f>
        <v>13300</v>
      </c>
    </row>
    <row r="41" spans="1:9" x14ac:dyDescent="0.3">
      <c r="A41" s="1">
        <v>45153</v>
      </c>
      <c r="B41" t="s">
        <v>938</v>
      </c>
      <c r="C41" t="s">
        <v>899</v>
      </c>
      <c r="D41" t="s">
        <v>900</v>
      </c>
      <c r="E41" t="s">
        <v>17</v>
      </c>
      <c r="F41">
        <v>4664</v>
      </c>
      <c r="G41">
        <v>13300</v>
      </c>
      <c r="H41" t="str">
        <f>TEXT(checking_account_secondary[[#This Row],[date]],"mmm-yyyy")</f>
        <v>Aug-2023</v>
      </c>
      <c r="I41">
        <f>_xlfn.XLOOKUP(checking_account_secondary[[#This Row],[Month_Year]],checking_account_secondary[Month_Year],checking_account_secondary[balance],"",0,-1)</f>
        <v>13300</v>
      </c>
    </row>
    <row r="42" spans="1:9" x14ac:dyDescent="0.3">
      <c r="A42" s="1">
        <v>45170</v>
      </c>
      <c r="B42" t="s">
        <v>939</v>
      </c>
      <c r="C42" t="s">
        <v>896</v>
      </c>
      <c r="D42" t="s">
        <v>897</v>
      </c>
      <c r="E42" t="s">
        <v>10</v>
      </c>
      <c r="F42">
        <v>4851</v>
      </c>
      <c r="G42">
        <v>18151</v>
      </c>
      <c r="H42" t="str">
        <f>TEXT(checking_account_secondary[[#This Row],[date]],"mmm-yyyy")</f>
        <v>Sep-2023</v>
      </c>
      <c r="I42">
        <f>_xlfn.XLOOKUP(checking_account_secondary[[#This Row],[Month_Year]],checking_account_secondary[Month_Year],checking_account_secondary[balance],"",0,-1)</f>
        <v>13880</v>
      </c>
    </row>
    <row r="43" spans="1:9" x14ac:dyDescent="0.3">
      <c r="A43" s="1">
        <v>45184</v>
      </c>
      <c r="B43" t="s">
        <v>940</v>
      </c>
      <c r="C43" t="s">
        <v>899</v>
      </c>
      <c r="D43" t="s">
        <v>900</v>
      </c>
      <c r="E43" t="s">
        <v>17</v>
      </c>
      <c r="F43">
        <v>4271</v>
      </c>
      <c r="G43">
        <v>13880</v>
      </c>
      <c r="H43" t="str">
        <f>TEXT(checking_account_secondary[[#This Row],[date]],"mmm-yyyy")</f>
        <v>Sep-2023</v>
      </c>
      <c r="I43">
        <f>_xlfn.XLOOKUP(checking_account_secondary[[#This Row],[Month_Year]],checking_account_secondary[Month_Year],checking_account_secondary[balance],"",0,-1)</f>
        <v>13880</v>
      </c>
    </row>
    <row r="44" spans="1:9" x14ac:dyDescent="0.3">
      <c r="A44" s="1">
        <v>45200</v>
      </c>
      <c r="B44" t="s">
        <v>941</v>
      </c>
      <c r="C44" t="s">
        <v>896</v>
      </c>
      <c r="D44" t="s">
        <v>897</v>
      </c>
      <c r="E44" t="s">
        <v>10</v>
      </c>
      <c r="F44">
        <v>4646</v>
      </c>
      <c r="G44">
        <v>18526</v>
      </c>
      <c r="H44" t="str">
        <f>TEXT(checking_account_secondary[[#This Row],[date]],"mmm-yyyy")</f>
        <v>Oct-2023</v>
      </c>
      <c r="I44">
        <f>_xlfn.XLOOKUP(checking_account_secondary[[#This Row],[Month_Year]],checking_account_secondary[Month_Year],checking_account_secondary[balance],"",0,-1)</f>
        <v>14093</v>
      </c>
    </row>
    <row r="45" spans="1:9" x14ac:dyDescent="0.3">
      <c r="A45" s="1">
        <v>45214</v>
      </c>
      <c r="B45" t="s">
        <v>942</v>
      </c>
      <c r="C45" t="s">
        <v>899</v>
      </c>
      <c r="D45" t="s">
        <v>900</v>
      </c>
      <c r="E45" t="s">
        <v>17</v>
      </c>
      <c r="F45">
        <v>4433</v>
      </c>
      <c r="G45">
        <v>14093</v>
      </c>
      <c r="H45" t="str">
        <f>TEXT(checking_account_secondary[[#This Row],[date]],"mmm-yyyy")</f>
        <v>Oct-2023</v>
      </c>
      <c r="I45">
        <f>_xlfn.XLOOKUP(checking_account_secondary[[#This Row],[Month_Year]],checking_account_secondary[Month_Year],checking_account_secondary[balance],"",0,-1)</f>
        <v>14093</v>
      </c>
    </row>
    <row r="46" spans="1:9" x14ac:dyDescent="0.3">
      <c r="A46" s="1">
        <v>45231</v>
      </c>
      <c r="B46" t="s">
        <v>943</v>
      </c>
      <c r="C46" t="s">
        <v>896</v>
      </c>
      <c r="D46" t="s">
        <v>897</v>
      </c>
      <c r="E46" t="s">
        <v>10</v>
      </c>
      <c r="F46">
        <v>3503</v>
      </c>
      <c r="G46">
        <v>17596</v>
      </c>
      <c r="H46" t="str">
        <f>TEXT(checking_account_secondary[[#This Row],[date]],"mmm-yyyy")</f>
        <v>Nov-2023</v>
      </c>
      <c r="I46">
        <f>_xlfn.XLOOKUP(checking_account_secondary[[#This Row],[Month_Year]],checking_account_secondary[Month_Year],checking_account_secondary[balance],"",0,-1)</f>
        <v>14523</v>
      </c>
    </row>
    <row r="47" spans="1:9" x14ac:dyDescent="0.3">
      <c r="A47" s="1">
        <v>45245</v>
      </c>
      <c r="B47" t="s">
        <v>944</v>
      </c>
      <c r="C47" t="s">
        <v>899</v>
      </c>
      <c r="D47" t="s">
        <v>900</v>
      </c>
      <c r="E47" t="s">
        <v>17</v>
      </c>
      <c r="F47">
        <v>3073</v>
      </c>
      <c r="G47">
        <v>14523</v>
      </c>
      <c r="H47" t="str">
        <f>TEXT(checking_account_secondary[[#This Row],[date]],"mmm-yyyy")</f>
        <v>Nov-2023</v>
      </c>
      <c r="I47">
        <f>_xlfn.XLOOKUP(checking_account_secondary[[#This Row],[Month_Year]],checking_account_secondary[Month_Year],checking_account_secondary[balance],"",0,-1)</f>
        <v>14523</v>
      </c>
    </row>
    <row r="48" spans="1:9" x14ac:dyDescent="0.3">
      <c r="A48" s="1">
        <v>45261</v>
      </c>
      <c r="B48" t="s">
        <v>945</v>
      </c>
      <c r="C48" t="s">
        <v>896</v>
      </c>
      <c r="D48" t="s">
        <v>897</v>
      </c>
      <c r="E48" t="s">
        <v>10</v>
      </c>
      <c r="F48">
        <v>5008</v>
      </c>
      <c r="G48">
        <v>19531</v>
      </c>
      <c r="H48" t="str">
        <f>TEXT(checking_account_secondary[[#This Row],[date]],"mmm-yyyy")</f>
        <v>Dec-2023</v>
      </c>
      <c r="I48">
        <f>_xlfn.XLOOKUP(checking_account_secondary[[#This Row],[Month_Year]],checking_account_secondary[Month_Year],checking_account_secondary[balance],"",0,-1)</f>
        <v>14806</v>
      </c>
    </row>
    <row r="49" spans="1:9" x14ac:dyDescent="0.3">
      <c r="A49" s="1">
        <v>45275</v>
      </c>
      <c r="B49" t="s">
        <v>946</v>
      </c>
      <c r="C49" t="s">
        <v>899</v>
      </c>
      <c r="D49" t="s">
        <v>900</v>
      </c>
      <c r="E49" t="s">
        <v>17</v>
      </c>
      <c r="F49">
        <v>4725</v>
      </c>
      <c r="G49">
        <v>14806</v>
      </c>
      <c r="H49" t="str">
        <f>TEXT(checking_account_secondary[[#This Row],[date]],"mmm-yyyy")</f>
        <v>Dec-2023</v>
      </c>
      <c r="I49">
        <f>_xlfn.XLOOKUP(checking_account_secondary[[#This Row],[Month_Year]],checking_account_secondary[Month_Year],checking_account_secondary[balance],"",0,-1)</f>
        <v>14806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658F-FEB4-4415-AF9C-67AA210B848A}">
  <dimension ref="A1:G93"/>
  <sheetViews>
    <sheetView workbookViewId="0">
      <selection activeCell="B11" sqref="B11"/>
    </sheetView>
  </sheetViews>
  <sheetFormatPr defaultRowHeight="14.4" x14ac:dyDescent="0.3"/>
  <cols>
    <col min="1" max="1" width="10.77734375" bestFit="1" customWidth="1"/>
    <col min="2" max="2" width="13.88671875" bestFit="1" customWidth="1"/>
    <col min="3" max="3" width="17" bestFit="1" customWidth="1"/>
    <col min="4" max="4" width="18.109375" bestFit="1" customWidth="1"/>
    <col min="5" max="5" width="12.88671875" bestFit="1" customWidth="1"/>
    <col min="6" max="6" width="9.5546875" bestFit="1" customWidth="1"/>
    <col min="7" max="7" width="17.44140625" bestFit="1" customWidth="1"/>
  </cols>
  <sheetData>
    <row r="1" spans="1:7" x14ac:dyDescent="0.3">
      <c r="A1" t="s">
        <v>1091</v>
      </c>
      <c r="B1" t="s">
        <v>1092</v>
      </c>
      <c r="C1" t="s">
        <v>1093</v>
      </c>
      <c r="D1" t="s">
        <v>1094</v>
      </c>
      <c r="E1" t="s">
        <v>4</v>
      </c>
      <c r="F1" t="s">
        <v>5</v>
      </c>
      <c r="G1" t="s">
        <v>1095</v>
      </c>
    </row>
    <row r="2" spans="1:7" x14ac:dyDescent="0.3">
      <c r="A2" s="1">
        <v>44607</v>
      </c>
      <c r="B2" t="s">
        <v>1096</v>
      </c>
      <c r="C2" t="s">
        <v>1097</v>
      </c>
      <c r="D2" t="s">
        <v>1098</v>
      </c>
      <c r="E2" t="s">
        <v>1099</v>
      </c>
      <c r="F2">
        <v>1865</v>
      </c>
      <c r="G2" t="s">
        <v>1100</v>
      </c>
    </row>
    <row r="3" spans="1:7" x14ac:dyDescent="0.3">
      <c r="A3" s="1">
        <v>44607</v>
      </c>
      <c r="B3" t="s">
        <v>1101</v>
      </c>
      <c r="C3" t="s">
        <v>1102</v>
      </c>
      <c r="D3" t="s">
        <v>1098</v>
      </c>
      <c r="E3" t="s">
        <v>1099</v>
      </c>
      <c r="F3">
        <v>1731</v>
      </c>
      <c r="G3" t="s">
        <v>1100</v>
      </c>
    </row>
    <row r="4" spans="1:7" x14ac:dyDescent="0.3">
      <c r="A4" s="1">
        <v>44607</v>
      </c>
      <c r="B4" t="s">
        <v>1103</v>
      </c>
      <c r="C4" t="s">
        <v>1104</v>
      </c>
      <c r="D4" t="s">
        <v>1105</v>
      </c>
      <c r="E4" t="s">
        <v>1099</v>
      </c>
      <c r="F4">
        <v>2272</v>
      </c>
      <c r="G4" t="s">
        <v>1100</v>
      </c>
    </row>
    <row r="5" spans="1:7" x14ac:dyDescent="0.3">
      <c r="A5" s="1">
        <v>44607</v>
      </c>
      <c r="B5" t="s">
        <v>1106</v>
      </c>
      <c r="C5" t="s">
        <v>1107</v>
      </c>
      <c r="D5" t="s">
        <v>1108</v>
      </c>
      <c r="E5" t="s">
        <v>1109</v>
      </c>
      <c r="F5">
        <v>1134</v>
      </c>
      <c r="G5" t="s">
        <v>1100</v>
      </c>
    </row>
    <row r="6" spans="1:7" x14ac:dyDescent="0.3">
      <c r="A6" s="1">
        <v>44635</v>
      </c>
      <c r="B6" t="s">
        <v>1096</v>
      </c>
      <c r="C6" t="s">
        <v>1097</v>
      </c>
      <c r="D6" t="s">
        <v>1098</v>
      </c>
      <c r="E6" t="s">
        <v>1099</v>
      </c>
      <c r="F6">
        <v>1857</v>
      </c>
      <c r="G6" t="s">
        <v>1100</v>
      </c>
    </row>
    <row r="7" spans="1:7" x14ac:dyDescent="0.3">
      <c r="A7" s="1">
        <v>44635</v>
      </c>
      <c r="B7" t="s">
        <v>1101</v>
      </c>
      <c r="C7" t="s">
        <v>1102</v>
      </c>
      <c r="D7" t="s">
        <v>1098</v>
      </c>
      <c r="E7" t="s">
        <v>1099</v>
      </c>
      <c r="F7">
        <v>1807</v>
      </c>
      <c r="G7" t="s">
        <v>1100</v>
      </c>
    </row>
    <row r="8" spans="1:7" x14ac:dyDescent="0.3">
      <c r="A8" s="1">
        <v>44635</v>
      </c>
      <c r="B8" t="s">
        <v>1103</v>
      </c>
      <c r="C8" t="s">
        <v>1104</v>
      </c>
      <c r="D8" t="s">
        <v>1105</v>
      </c>
      <c r="E8" t="s">
        <v>1099</v>
      </c>
      <c r="F8">
        <v>2233</v>
      </c>
      <c r="G8" t="s">
        <v>1100</v>
      </c>
    </row>
    <row r="9" spans="1:7" x14ac:dyDescent="0.3">
      <c r="A9" s="1">
        <v>44635</v>
      </c>
      <c r="B9" t="s">
        <v>1106</v>
      </c>
      <c r="C9" t="s">
        <v>1107</v>
      </c>
      <c r="D9" t="s">
        <v>1108</v>
      </c>
      <c r="E9" t="s">
        <v>1109</v>
      </c>
      <c r="F9">
        <v>1166</v>
      </c>
      <c r="G9" t="s">
        <v>1100</v>
      </c>
    </row>
    <row r="10" spans="1:7" x14ac:dyDescent="0.3">
      <c r="A10" s="1">
        <v>44666</v>
      </c>
      <c r="B10" t="s">
        <v>1096</v>
      </c>
      <c r="C10" t="s">
        <v>1097</v>
      </c>
      <c r="D10" t="s">
        <v>1098</v>
      </c>
      <c r="E10" t="s">
        <v>1099</v>
      </c>
      <c r="F10">
        <v>1779</v>
      </c>
      <c r="G10" t="s">
        <v>1100</v>
      </c>
    </row>
    <row r="11" spans="1:7" x14ac:dyDescent="0.3">
      <c r="A11" s="1">
        <v>44666</v>
      </c>
      <c r="B11" t="s">
        <v>1101</v>
      </c>
      <c r="C11" t="s">
        <v>1102</v>
      </c>
      <c r="D11" t="s">
        <v>1098</v>
      </c>
      <c r="E11" t="s">
        <v>1099</v>
      </c>
      <c r="F11">
        <v>1656</v>
      </c>
      <c r="G11" t="s">
        <v>1100</v>
      </c>
    </row>
    <row r="12" spans="1:7" x14ac:dyDescent="0.3">
      <c r="A12" s="1">
        <v>44666</v>
      </c>
      <c r="B12" t="s">
        <v>1103</v>
      </c>
      <c r="C12" t="s">
        <v>1104</v>
      </c>
      <c r="D12" t="s">
        <v>1105</v>
      </c>
      <c r="E12" t="s">
        <v>1099</v>
      </c>
      <c r="F12">
        <v>2279</v>
      </c>
      <c r="G12" t="s">
        <v>1100</v>
      </c>
    </row>
    <row r="13" spans="1:7" x14ac:dyDescent="0.3">
      <c r="A13" s="1">
        <v>44666</v>
      </c>
      <c r="B13" t="s">
        <v>1106</v>
      </c>
      <c r="C13" t="s">
        <v>1107</v>
      </c>
      <c r="D13" t="s">
        <v>1108</v>
      </c>
      <c r="E13" t="s">
        <v>1109</v>
      </c>
      <c r="F13">
        <v>1113</v>
      </c>
      <c r="G13" t="s">
        <v>1100</v>
      </c>
    </row>
    <row r="14" spans="1:7" x14ac:dyDescent="0.3">
      <c r="A14" s="1">
        <v>44696</v>
      </c>
      <c r="B14" t="s">
        <v>1096</v>
      </c>
      <c r="C14" t="s">
        <v>1097</v>
      </c>
      <c r="D14" t="s">
        <v>1098</v>
      </c>
      <c r="E14" t="s">
        <v>1099</v>
      </c>
      <c r="F14">
        <v>1772</v>
      </c>
      <c r="G14" t="s">
        <v>1100</v>
      </c>
    </row>
    <row r="15" spans="1:7" x14ac:dyDescent="0.3">
      <c r="A15" s="1">
        <v>44696</v>
      </c>
      <c r="B15" t="s">
        <v>1101</v>
      </c>
      <c r="C15" t="s">
        <v>1102</v>
      </c>
      <c r="D15" t="s">
        <v>1098</v>
      </c>
      <c r="E15" t="s">
        <v>1099</v>
      </c>
      <c r="F15">
        <v>1792</v>
      </c>
      <c r="G15" t="s">
        <v>1100</v>
      </c>
    </row>
    <row r="16" spans="1:7" x14ac:dyDescent="0.3">
      <c r="A16" s="1">
        <v>44696</v>
      </c>
      <c r="B16" t="s">
        <v>1103</v>
      </c>
      <c r="C16" t="s">
        <v>1104</v>
      </c>
      <c r="D16" t="s">
        <v>1105</v>
      </c>
      <c r="E16" t="s">
        <v>1099</v>
      </c>
      <c r="F16">
        <v>2248</v>
      </c>
      <c r="G16" t="s">
        <v>1100</v>
      </c>
    </row>
    <row r="17" spans="1:7" x14ac:dyDescent="0.3">
      <c r="A17" s="1">
        <v>44696</v>
      </c>
      <c r="B17" t="s">
        <v>1106</v>
      </c>
      <c r="C17" t="s">
        <v>1107</v>
      </c>
      <c r="D17" t="s">
        <v>1108</v>
      </c>
      <c r="E17" t="s">
        <v>1109</v>
      </c>
      <c r="F17">
        <v>1262</v>
      </c>
      <c r="G17" t="s">
        <v>1100</v>
      </c>
    </row>
    <row r="18" spans="1:7" x14ac:dyDescent="0.3">
      <c r="A18" s="1">
        <v>44727</v>
      </c>
      <c r="B18" t="s">
        <v>1096</v>
      </c>
      <c r="C18" t="s">
        <v>1097</v>
      </c>
      <c r="D18" t="s">
        <v>1098</v>
      </c>
      <c r="E18" t="s">
        <v>1099</v>
      </c>
      <c r="F18">
        <v>1765</v>
      </c>
      <c r="G18" t="s">
        <v>1100</v>
      </c>
    </row>
    <row r="19" spans="1:7" x14ac:dyDescent="0.3">
      <c r="A19" s="1">
        <v>44727</v>
      </c>
      <c r="B19" t="s">
        <v>1101</v>
      </c>
      <c r="C19" t="s">
        <v>1102</v>
      </c>
      <c r="D19" t="s">
        <v>1098</v>
      </c>
      <c r="E19" t="s">
        <v>1099</v>
      </c>
      <c r="F19">
        <v>1740</v>
      </c>
      <c r="G19" t="s">
        <v>1100</v>
      </c>
    </row>
    <row r="20" spans="1:7" x14ac:dyDescent="0.3">
      <c r="A20" s="1">
        <v>44727</v>
      </c>
      <c r="B20" t="s">
        <v>1103</v>
      </c>
      <c r="C20" t="s">
        <v>1104</v>
      </c>
      <c r="D20" t="s">
        <v>1105</v>
      </c>
      <c r="E20" t="s">
        <v>1099</v>
      </c>
      <c r="F20">
        <v>2229</v>
      </c>
      <c r="G20" t="s">
        <v>1100</v>
      </c>
    </row>
    <row r="21" spans="1:7" x14ac:dyDescent="0.3">
      <c r="A21" s="1">
        <v>44727</v>
      </c>
      <c r="B21" t="s">
        <v>1106</v>
      </c>
      <c r="C21" t="s">
        <v>1107</v>
      </c>
      <c r="D21" t="s">
        <v>1108</v>
      </c>
      <c r="E21" t="s">
        <v>1109</v>
      </c>
      <c r="F21">
        <v>1262</v>
      </c>
      <c r="G21" t="s">
        <v>1100</v>
      </c>
    </row>
    <row r="22" spans="1:7" x14ac:dyDescent="0.3">
      <c r="A22" s="1">
        <v>44757</v>
      </c>
      <c r="B22" t="s">
        <v>1096</v>
      </c>
      <c r="C22" t="s">
        <v>1097</v>
      </c>
      <c r="D22" t="s">
        <v>1098</v>
      </c>
      <c r="E22" t="s">
        <v>1099</v>
      </c>
      <c r="F22">
        <v>1719</v>
      </c>
      <c r="G22" t="s">
        <v>1100</v>
      </c>
    </row>
    <row r="23" spans="1:7" x14ac:dyDescent="0.3">
      <c r="A23" s="1">
        <v>44757</v>
      </c>
      <c r="B23" t="s">
        <v>1101</v>
      </c>
      <c r="C23" t="s">
        <v>1102</v>
      </c>
      <c r="D23" t="s">
        <v>1098</v>
      </c>
      <c r="E23" t="s">
        <v>1099</v>
      </c>
      <c r="F23">
        <v>1659</v>
      </c>
      <c r="G23" t="s">
        <v>1100</v>
      </c>
    </row>
    <row r="24" spans="1:7" x14ac:dyDescent="0.3">
      <c r="A24" s="1">
        <v>44757</v>
      </c>
      <c r="B24" t="s">
        <v>1103</v>
      </c>
      <c r="C24" t="s">
        <v>1104</v>
      </c>
      <c r="D24" t="s">
        <v>1105</v>
      </c>
      <c r="E24" t="s">
        <v>1099</v>
      </c>
      <c r="F24">
        <v>2124</v>
      </c>
      <c r="G24" t="s">
        <v>1100</v>
      </c>
    </row>
    <row r="25" spans="1:7" x14ac:dyDescent="0.3">
      <c r="A25" s="1">
        <v>44757</v>
      </c>
      <c r="B25" t="s">
        <v>1106</v>
      </c>
      <c r="C25" t="s">
        <v>1107</v>
      </c>
      <c r="D25" t="s">
        <v>1108</v>
      </c>
      <c r="E25" t="s">
        <v>1109</v>
      </c>
      <c r="F25">
        <v>1293</v>
      </c>
      <c r="G25" t="s">
        <v>1100</v>
      </c>
    </row>
    <row r="26" spans="1:7" x14ac:dyDescent="0.3">
      <c r="A26" s="1">
        <v>44788</v>
      </c>
      <c r="B26" t="s">
        <v>1096</v>
      </c>
      <c r="C26" t="s">
        <v>1097</v>
      </c>
      <c r="D26" t="s">
        <v>1098</v>
      </c>
      <c r="E26" t="s">
        <v>1099</v>
      </c>
      <c r="F26">
        <v>1724</v>
      </c>
      <c r="G26" t="s">
        <v>1100</v>
      </c>
    </row>
    <row r="27" spans="1:7" x14ac:dyDescent="0.3">
      <c r="A27" s="1">
        <v>44788</v>
      </c>
      <c r="B27" t="s">
        <v>1101</v>
      </c>
      <c r="C27" t="s">
        <v>1102</v>
      </c>
      <c r="D27" t="s">
        <v>1098</v>
      </c>
      <c r="E27" t="s">
        <v>1099</v>
      </c>
      <c r="F27">
        <v>1703</v>
      </c>
      <c r="G27" t="s">
        <v>1100</v>
      </c>
    </row>
    <row r="28" spans="1:7" x14ac:dyDescent="0.3">
      <c r="A28" s="1">
        <v>44788</v>
      </c>
      <c r="B28" t="s">
        <v>1103</v>
      </c>
      <c r="C28" t="s">
        <v>1104</v>
      </c>
      <c r="D28" t="s">
        <v>1105</v>
      </c>
      <c r="E28" t="s">
        <v>1099</v>
      </c>
      <c r="F28">
        <v>2132</v>
      </c>
      <c r="G28" t="s">
        <v>1100</v>
      </c>
    </row>
    <row r="29" spans="1:7" x14ac:dyDescent="0.3">
      <c r="A29" s="1">
        <v>44788</v>
      </c>
      <c r="B29" t="s">
        <v>1106</v>
      </c>
      <c r="C29" t="s">
        <v>1107</v>
      </c>
      <c r="D29" t="s">
        <v>1108</v>
      </c>
      <c r="E29" t="s">
        <v>1109</v>
      </c>
      <c r="F29">
        <v>1263</v>
      </c>
      <c r="G29" t="s">
        <v>1100</v>
      </c>
    </row>
    <row r="30" spans="1:7" x14ac:dyDescent="0.3">
      <c r="A30" s="1">
        <v>44819</v>
      </c>
      <c r="B30" t="s">
        <v>1096</v>
      </c>
      <c r="C30" t="s">
        <v>1097</v>
      </c>
      <c r="D30" t="s">
        <v>1098</v>
      </c>
      <c r="E30" t="s">
        <v>1099</v>
      </c>
      <c r="F30">
        <v>1794</v>
      </c>
      <c r="G30" t="s">
        <v>1100</v>
      </c>
    </row>
    <row r="31" spans="1:7" x14ac:dyDescent="0.3">
      <c r="A31" s="1">
        <v>44819</v>
      </c>
      <c r="B31" t="s">
        <v>1101</v>
      </c>
      <c r="C31" t="s">
        <v>1102</v>
      </c>
      <c r="D31" t="s">
        <v>1098</v>
      </c>
      <c r="E31" t="s">
        <v>1099</v>
      </c>
      <c r="F31">
        <v>1663</v>
      </c>
      <c r="G31" t="s">
        <v>1100</v>
      </c>
    </row>
    <row r="32" spans="1:7" x14ac:dyDescent="0.3">
      <c r="A32" s="1">
        <v>44819</v>
      </c>
      <c r="B32" t="s">
        <v>1103</v>
      </c>
      <c r="C32" t="s">
        <v>1104</v>
      </c>
      <c r="D32" t="s">
        <v>1105</v>
      </c>
      <c r="E32" t="s">
        <v>1099</v>
      </c>
      <c r="F32">
        <v>2164</v>
      </c>
      <c r="G32" t="s">
        <v>1100</v>
      </c>
    </row>
    <row r="33" spans="1:7" x14ac:dyDescent="0.3">
      <c r="A33" s="1">
        <v>44819</v>
      </c>
      <c r="B33" t="s">
        <v>1106</v>
      </c>
      <c r="C33" t="s">
        <v>1107</v>
      </c>
      <c r="D33" t="s">
        <v>1108</v>
      </c>
      <c r="E33" t="s">
        <v>1109</v>
      </c>
      <c r="F33">
        <v>1209</v>
      </c>
      <c r="G33" t="s">
        <v>1100</v>
      </c>
    </row>
    <row r="34" spans="1:7" x14ac:dyDescent="0.3">
      <c r="A34" s="1">
        <v>44849</v>
      </c>
      <c r="B34" t="s">
        <v>1096</v>
      </c>
      <c r="C34" t="s">
        <v>1097</v>
      </c>
      <c r="D34" t="s">
        <v>1098</v>
      </c>
      <c r="E34" t="s">
        <v>1099</v>
      </c>
      <c r="F34">
        <v>1779</v>
      </c>
      <c r="G34" t="s">
        <v>1100</v>
      </c>
    </row>
    <row r="35" spans="1:7" x14ac:dyDescent="0.3">
      <c r="A35" s="1">
        <v>44849</v>
      </c>
      <c r="B35" t="s">
        <v>1101</v>
      </c>
      <c r="C35" t="s">
        <v>1102</v>
      </c>
      <c r="D35" t="s">
        <v>1098</v>
      </c>
      <c r="E35" t="s">
        <v>1099</v>
      </c>
      <c r="F35">
        <v>1703</v>
      </c>
      <c r="G35" t="s">
        <v>1100</v>
      </c>
    </row>
    <row r="36" spans="1:7" x14ac:dyDescent="0.3">
      <c r="A36" s="1">
        <v>44849</v>
      </c>
      <c r="B36" t="s">
        <v>1103</v>
      </c>
      <c r="C36" t="s">
        <v>1104</v>
      </c>
      <c r="D36" t="s">
        <v>1105</v>
      </c>
      <c r="E36" t="s">
        <v>1099</v>
      </c>
      <c r="F36">
        <v>2224</v>
      </c>
      <c r="G36" t="s">
        <v>1100</v>
      </c>
    </row>
    <row r="37" spans="1:7" x14ac:dyDescent="0.3">
      <c r="A37" s="1">
        <v>44849</v>
      </c>
      <c r="B37" t="s">
        <v>1106</v>
      </c>
      <c r="C37" t="s">
        <v>1107</v>
      </c>
      <c r="D37" t="s">
        <v>1108</v>
      </c>
      <c r="E37" t="s">
        <v>1109</v>
      </c>
      <c r="F37">
        <v>1279</v>
      </c>
      <c r="G37" t="s">
        <v>1100</v>
      </c>
    </row>
    <row r="38" spans="1:7" x14ac:dyDescent="0.3">
      <c r="A38" s="1">
        <v>44880</v>
      </c>
      <c r="B38" t="s">
        <v>1096</v>
      </c>
      <c r="C38" t="s">
        <v>1097</v>
      </c>
      <c r="D38" t="s">
        <v>1098</v>
      </c>
      <c r="E38" t="s">
        <v>1099</v>
      </c>
      <c r="F38">
        <v>1830</v>
      </c>
      <c r="G38" t="s">
        <v>1100</v>
      </c>
    </row>
    <row r="39" spans="1:7" x14ac:dyDescent="0.3">
      <c r="A39" s="1">
        <v>44880</v>
      </c>
      <c r="B39" t="s">
        <v>1101</v>
      </c>
      <c r="C39" t="s">
        <v>1102</v>
      </c>
      <c r="D39" t="s">
        <v>1098</v>
      </c>
      <c r="E39" t="s">
        <v>1099</v>
      </c>
      <c r="F39">
        <v>1818</v>
      </c>
      <c r="G39" t="s">
        <v>1100</v>
      </c>
    </row>
    <row r="40" spans="1:7" x14ac:dyDescent="0.3">
      <c r="A40" s="1">
        <v>44880</v>
      </c>
      <c r="B40" t="s">
        <v>1103</v>
      </c>
      <c r="C40" t="s">
        <v>1104</v>
      </c>
      <c r="D40" t="s">
        <v>1105</v>
      </c>
      <c r="E40" t="s">
        <v>1099</v>
      </c>
      <c r="F40">
        <v>2233</v>
      </c>
      <c r="G40" t="s">
        <v>1100</v>
      </c>
    </row>
    <row r="41" spans="1:7" x14ac:dyDescent="0.3">
      <c r="A41" s="1">
        <v>44880</v>
      </c>
      <c r="B41" t="s">
        <v>1106</v>
      </c>
      <c r="C41" t="s">
        <v>1107</v>
      </c>
      <c r="D41" t="s">
        <v>1108</v>
      </c>
      <c r="E41" t="s">
        <v>1109</v>
      </c>
      <c r="F41">
        <v>1124</v>
      </c>
      <c r="G41" t="s">
        <v>1100</v>
      </c>
    </row>
    <row r="42" spans="1:7" x14ac:dyDescent="0.3">
      <c r="A42" s="1">
        <v>44910</v>
      </c>
      <c r="B42" t="s">
        <v>1096</v>
      </c>
      <c r="C42" t="s">
        <v>1097</v>
      </c>
      <c r="D42" t="s">
        <v>1098</v>
      </c>
      <c r="E42" t="s">
        <v>1099</v>
      </c>
      <c r="F42">
        <v>1840</v>
      </c>
      <c r="G42" t="s">
        <v>1100</v>
      </c>
    </row>
    <row r="43" spans="1:7" x14ac:dyDescent="0.3">
      <c r="A43" s="1">
        <v>44910</v>
      </c>
      <c r="B43" t="s">
        <v>1101</v>
      </c>
      <c r="C43" t="s">
        <v>1102</v>
      </c>
      <c r="D43" t="s">
        <v>1098</v>
      </c>
      <c r="E43" t="s">
        <v>1099</v>
      </c>
      <c r="F43">
        <v>1766</v>
      </c>
      <c r="G43" t="s">
        <v>1100</v>
      </c>
    </row>
    <row r="44" spans="1:7" x14ac:dyDescent="0.3">
      <c r="A44" s="1">
        <v>44910</v>
      </c>
      <c r="B44" t="s">
        <v>1103</v>
      </c>
      <c r="C44" t="s">
        <v>1104</v>
      </c>
      <c r="D44" t="s">
        <v>1105</v>
      </c>
      <c r="E44" t="s">
        <v>1099</v>
      </c>
      <c r="F44">
        <v>2235</v>
      </c>
      <c r="G44" t="s">
        <v>1100</v>
      </c>
    </row>
    <row r="45" spans="1:7" x14ac:dyDescent="0.3">
      <c r="A45" s="1">
        <v>44910</v>
      </c>
      <c r="B45" t="s">
        <v>1106</v>
      </c>
      <c r="C45" t="s">
        <v>1107</v>
      </c>
      <c r="D45" t="s">
        <v>1108</v>
      </c>
      <c r="E45" t="s">
        <v>1109</v>
      </c>
      <c r="F45">
        <v>1248</v>
      </c>
      <c r="G45" t="s">
        <v>1100</v>
      </c>
    </row>
    <row r="46" spans="1:7" x14ac:dyDescent="0.3">
      <c r="A46" s="1">
        <v>44941</v>
      </c>
      <c r="B46" t="s">
        <v>1096</v>
      </c>
      <c r="C46" t="s">
        <v>1097</v>
      </c>
      <c r="D46" t="s">
        <v>1098</v>
      </c>
      <c r="E46" t="s">
        <v>1099</v>
      </c>
      <c r="F46">
        <v>1895</v>
      </c>
      <c r="G46" t="s">
        <v>1100</v>
      </c>
    </row>
    <row r="47" spans="1:7" x14ac:dyDescent="0.3">
      <c r="A47" s="1">
        <v>44941</v>
      </c>
      <c r="B47" t="s">
        <v>1101</v>
      </c>
      <c r="C47" t="s">
        <v>1102</v>
      </c>
      <c r="D47" t="s">
        <v>1098</v>
      </c>
      <c r="E47" t="s">
        <v>1099</v>
      </c>
      <c r="F47">
        <v>1674</v>
      </c>
      <c r="G47" t="s">
        <v>1100</v>
      </c>
    </row>
    <row r="48" spans="1:7" x14ac:dyDescent="0.3">
      <c r="A48" s="1">
        <v>44941</v>
      </c>
      <c r="B48" t="s">
        <v>1103</v>
      </c>
      <c r="C48" t="s">
        <v>1104</v>
      </c>
      <c r="D48" t="s">
        <v>1105</v>
      </c>
      <c r="E48" t="s">
        <v>1099</v>
      </c>
      <c r="F48">
        <v>2178</v>
      </c>
      <c r="G48" t="s">
        <v>1100</v>
      </c>
    </row>
    <row r="49" spans="1:7" x14ac:dyDescent="0.3">
      <c r="A49" s="1">
        <v>44941</v>
      </c>
      <c r="B49" t="s">
        <v>1106</v>
      </c>
      <c r="C49" t="s">
        <v>1107</v>
      </c>
      <c r="D49" t="s">
        <v>1108</v>
      </c>
      <c r="E49" t="s">
        <v>1109</v>
      </c>
      <c r="F49">
        <v>1167</v>
      </c>
      <c r="G49" t="s">
        <v>1100</v>
      </c>
    </row>
    <row r="50" spans="1:7" x14ac:dyDescent="0.3">
      <c r="A50" s="1">
        <v>44972</v>
      </c>
      <c r="B50" t="s">
        <v>1096</v>
      </c>
      <c r="C50" t="s">
        <v>1097</v>
      </c>
      <c r="D50" t="s">
        <v>1098</v>
      </c>
      <c r="E50" t="s">
        <v>1099</v>
      </c>
      <c r="F50">
        <v>1872</v>
      </c>
      <c r="G50" t="s">
        <v>1100</v>
      </c>
    </row>
    <row r="51" spans="1:7" x14ac:dyDescent="0.3">
      <c r="A51" s="1">
        <v>44972</v>
      </c>
      <c r="B51" t="s">
        <v>1101</v>
      </c>
      <c r="C51" t="s">
        <v>1102</v>
      </c>
      <c r="D51" t="s">
        <v>1098</v>
      </c>
      <c r="E51" t="s">
        <v>1099</v>
      </c>
      <c r="F51">
        <v>1837</v>
      </c>
      <c r="G51" t="s">
        <v>1100</v>
      </c>
    </row>
    <row r="52" spans="1:7" x14ac:dyDescent="0.3">
      <c r="A52" s="1">
        <v>44972</v>
      </c>
      <c r="B52" t="s">
        <v>1103</v>
      </c>
      <c r="C52" t="s">
        <v>1104</v>
      </c>
      <c r="D52" t="s">
        <v>1105</v>
      </c>
      <c r="E52" t="s">
        <v>1099</v>
      </c>
      <c r="F52">
        <v>2111</v>
      </c>
      <c r="G52" t="s">
        <v>1100</v>
      </c>
    </row>
    <row r="53" spans="1:7" x14ac:dyDescent="0.3">
      <c r="A53" s="1">
        <v>44972</v>
      </c>
      <c r="B53" t="s">
        <v>1106</v>
      </c>
      <c r="C53" t="s">
        <v>1107</v>
      </c>
      <c r="D53" t="s">
        <v>1108</v>
      </c>
      <c r="E53" t="s">
        <v>1109</v>
      </c>
      <c r="F53">
        <v>1131</v>
      </c>
      <c r="G53" t="s">
        <v>1100</v>
      </c>
    </row>
    <row r="54" spans="1:7" x14ac:dyDescent="0.3">
      <c r="A54" s="1">
        <v>45000</v>
      </c>
      <c r="B54" t="s">
        <v>1096</v>
      </c>
      <c r="C54" t="s">
        <v>1097</v>
      </c>
      <c r="D54" t="s">
        <v>1098</v>
      </c>
      <c r="E54" t="s">
        <v>1099</v>
      </c>
      <c r="F54">
        <v>1827</v>
      </c>
      <c r="G54" t="s">
        <v>1100</v>
      </c>
    </row>
    <row r="55" spans="1:7" x14ac:dyDescent="0.3">
      <c r="A55" s="1">
        <v>45000</v>
      </c>
      <c r="B55" t="s">
        <v>1101</v>
      </c>
      <c r="C55" t="s">
        <v>1102</v>
      </c>
      <c r="D55" t="s">
        <v>1098</v>
      </c>
      <c r="E55" t="s">
        <v>1099</v>
      </c>
      <c r="F55">
        <v>1745</v>
      </c>
      <c r="G55" t="s">
        <v>1100</v>
      </c>
    </row>
    <row r="56" spans="1:7" x14ac:dyDescent="0.3">
      <c r="A56" s="1">
        <v>45000</v>
      </c>
      <c r="B56" t="s">
        <v>1103</v>
      </c>
      <c r="C56" t="s">
        <v>1104</v>
      </c>
      <c r="D56" t="s">
        <v>1105</v>
      </c>
      <c r="E56" t="s">
        <v>1099</v>
      </c>
      <c r="F56">
        <v>2191</v>
      </c>
      <c r="G56" t="s">
        <v>1100</v>
      </c>
    </row>
    <row r="57" spans="1:7" x14ac:dyDescent="0.3">
      <c r="A57" s="1">
        <v>45000</v>
      </c>
      <c r="B57" t="s">
        <v>1106</v>
      </c>
      <c r="C57" t="s">
        <v>1107</v>
      </c>
      <c r="D57" t="s">
        <v>1108</v>
      </c>
      <c r="E57" t="s">
        <v>1109</v>
      </c>
      <c r="F57">
        <v>1240</v>
      </c>
      <c r="G57" t="s">
        <v>1100</v>
      </c>
    </row>
    <row r="58" spans="1:7" x14ac:dyDescent="0.3">
      <c r="A58" s="1">
        <v>45031</v>
      </c>
      <c r="B58" t="s">
        <v>1096</v>
      </c>
      <c r="C58" t="s">
        <v>1097</v>
      </c>
      <c r="D58" t="s">
        <v>1098</v>
      </c>
      <c r="E58" t="s">
        <v>1099</v>
      </c>
      <c r="F58">
        <v>1730</v>
      </c>
      <c r="G58" t="s">
        <v>1100</v>
      </c>
    </row>
    <row r="59" spans="1:7" x14ac:dyDescent="0.3">
      <c r="A59" s="1">
        <v>45031</v>
      </c>
      <c r="B59" t="s">
        <v>1101</v>
      </c>
      <c r="C59" t="s">
        <v>1102</v>
      </c>
      <c r="D59" t="s">
        <v>1098</v>
      </c>
      <c r="E59" t="s">
        <v>1099</v>
      </c>
      <c r="F59">
        <v>1727</v>
      </c>
      <c r="G59" t="s">
        <v>1100</v>
      </c>
    </row>
    <row r="60" spans="1:7" x14ac:dyDescent="0.3">
      <c r="A60" s="1">
        <v>45031</v>
      </c>
      <c r="B60" t="s">
        <v>1103</v>
      </c>
      <c r="C60" t="s">
        <v>1104</v>
      </c>
      <c r="D60" t="s">
        <v>1105</v>
      </c>
      <c r="E60" t="s">
        <v>1099</v>
      </c>
      <c r="F60">
        <v>2119</v>
      </c>
      <c r="G60" t="s">
        <v>1100</v>
      </c>
    </row>
    <row r="61" spans="1:7" x14ac:dyDescent="0.3">
      <c r="A61" s="1">
        <v>45031</v>
      </c>
      <c r="B61" t="s">
        <v>1106</v>
      </c>
      <c r="C61" t="s">
        <v>1107</v>
      </c>
      <c r="D61" t="s">
        <v>1108</v>
      </c>
      <c r="E61" t="s">
        <v>1109</v>
      </c>
      <c r="F61">
        <v>1245</v>
      </c>
      <c r="G61" t="s">
        <v>1100</v>
      </c>
    </row>
    <row r="62" spans="1:7" x14ac:dyDescent="0.3">
      <c r="A62" s="1">
        <v>45061</v>
      </c>
      <c r="B62" t="s">
        <v>1096</v>
      </c>
      <c r="C62" t="s">
        <v>1097</v>
      </c>
      <c r="D62" t="s">
        <v>1098</v>
      </c>
      <c r="E62" t="s">
        <v>1099</v>
      </c>
      <c r="F62">
        <v>1759</v>
      </c>
      <c r="G62" t="s">
        <v>1100</v>
      </c>
    </row>
    <row r="63" spans="1:7" x14ac:dyDescent="0.3">
      <c r="A63" s="1">
        <v>45061</v>
      </c>
      <c r="B63" t="s">
        <v>1101</v>
      </c>
      <c r="C63" t="s">
        <v>1102</v>
      </c>
      <c r="D63" t="s">
        <v>1098</v>
      </c>
      <c r="E63" t="s">
        <v>1099</v>
      </c>
      <c r="F63">
        <v>1840</v>
      </c>
      <c r="G63" t="s">
        <v>1100</v>
      </c>
    </row>
    <row r="64" spans="1:7" x14ac:dyDescent="0.3">
      <c r="A64" s="1">
        <v>45061</v>
      </c>
      <c r="B64" t="s">
        <v>1103</v>
      </c>
      <c r="C64" t="s">
        <v>1104</v>
      </c>
      <c r="D64" t="s">
        <v>1105</v>
      </c>
      <c r="E64" t="s">
        <v>1099</v>
      </c>
      <c r="F64">
        <v>2233</v>
      </c>
      <c r="G64" t="s">
        <v>1100</v>
      </c>
    </row>
    <row r="65" spans="1:7" x14ac:dyDescent="0.3">
      <c r="A65" s="1">
        <v>45061</v>
      </c>
      <c r="B65" t="s">
        <v>1106</v>
      </c>
      <c r="C65" t="s">
        <v>1107</v>
      </c>
      <c r="D65" t="s">
        <v>1108</v>
      </c>
      <c r="E65" t="s">
        <v>1109</v>
      </c>
      <c r="F65">
        <v>1259</v>
      </c>
      <c r="G65" t="s">
        <v>1100</v>
      </c>
    </row>
    <row r="66" spans="1:7" x14ac:dyDescent="0.3">
      <c r="A66" s="1">
        <v>45092</v>
      </c>
      <c r="B66" t="s">
        <v>1096</v>
      </c>
      <c r="C66" t="s">
        <v>1097</v>
      </c>
      <c r="D66" t="s">
        <v>1098</v>
      </c>
      <c r="E66" t="s">
        <v>1099</v>
      </c>
      <c r="F66">
        <v>1792</v>
      </c>
      <c r="G66" t="s">
        <v>1100</v>
      </c>
    </row>
    <row r="67" spans="1:7" x14ac:dyDescent="0.3">
      <c r="A67" s="1">
        <v>45092</v>
      </c>
      <c r="B67" t="s">
        <v>1101</v>
      </c>
      <c r="C67" t="s">
        <v>1102</v>
      </c>
      <c r="D67" t="s">
        <v>1098</v>
      </c>
      <c r="E67" t="s">
        <v>1099</v>
      </c>
      <c r="F67">
        <v>1692</v>
      </c>
      <c r="G67" t="s">
        <v>1100</v>
      </c>
    </row>
    <row r="68" spans="1:7" x14ac:dyDescent="0.3">
      <c r="A68" s="1">
        <v>45092</v>
      </c>
      <c r="B68" t="s">
        <v>1103</v>
      </c>
      <c r="C68" t="s">
        <v>1104</v>
      </c>
      <c r="D68" t="s">
        <v>1105</v>
      </c>
      <c r="E68" t="s">
        <v>1099</v>
      </c>
      <c r="F68">
        <v>2229</v>
      </c>
      <c r="G68" t="s">
        <v>1100</v>
      </c>
    </row>
    <row r="69" spans="1:7" x14ac:dyDescent="0.3">
      <c r="A69" s="1">
        <v>45092</v>
      </c>
      <c r="B69" t="s">
        <v>1106</v>
      </c>
      <c r="C69" t="s">
        <v>1107</v>
      </c>
      <c r="D69" t="s">
        <v>1108</v>
      </c>
      <c r="E69" t="s">
        <v>1109</v>
      </c>
      <c r="F69">
        <v>1159</v>
      </c>
      <c r="G69" t="s">
        <v>1100</v>
      </c>
    </row>
    <row r="70" spans="1:7" x14ac:dyDescent="0.3">
      <c r="A70" s="1">
        <v>45122</v>
      </c>
      <c r="B70" t="s">
        <v>1096</v>
      </c>
      <c r="C70" t="s">
        <v>1097</v>
      </c>
      <c r="D70" t="s">
        <v>1098</v>
      </c>
      <c r="E70" t="s">
        <v>1099</v>
      </c>
      <c r="F70">
        <v>1850</v>
      </c>
      <c r="G70" t="s">
        <v>1100</v>
      </c>
    </row>
    <row r="71" spans="1:7" x14ac:dyDescent="0.3">
      <c r="A71" s="1">
        <v>45122</v>
      </c>
      <c r="B71" t="s">
        <v>1101</v>
      </c>
      <c r="C71" t="s">
        <v>1102</v>
      </c>
      <c r="D71" t="s">
        <v>1098</v>
      </c>
      <c r="E71" t="s">
        <v>1099</v>
      </c>
      <c r="F71">
        <v>1680</v>
      </c>
      <c r="G71" t="s">
        <v>1100</v>
      </c>
    </row>
    <row r="72" spans="1:7" x14ac:dyDescent="0.3">
      <c r="A72" s="1">
        <v>45122</v>
      </c>
      <c r="B72" t="s">
        <v>1103</v>
      </c>
      <c r="C72" t="s">
        <v>1104</v>
      </c>
      <c r="D72" t="s">
        <v>1105</v>
      </c>
      <c r="E72" t="s">
        <v>1099</v>
      </c>
      <c r="F72">
        <v>2104</v>
      </c>
      <c r="G72" t="s">
        <v>1100</v>
      </c>
    </row>
    <row r="73" spans="1:7" x14ac:dyDescent="0.3">
      <c r="A73" s="1">
        <v>45122</v>
      </c>
      <c r="B73" t="s">
        <v>1106</v>
      </c>
      <c r="C73" t="s">
        <v>1107</v>
      </c>
      <c r="D73" t="s">
        <v>1108</v>
      </c>
      <c r="E73" t="s">
        <v>1109</v>
      </c>
      <c r="F73">
        <v>1261</v>
      </c>
      <c r="G73" t="s">
        <v>1100</v>
      </c>
    </row>
    <row r="74" spans="1:7" x14ac:dyDescent="0.3">
      <c r="A74" s="1">
        <v>45153</v>
      </c>
      <c r="B74" t="s">
        <v>1096</v>
      </c>
      <c r="C74" t="s">
        <v>1097</v>
      </c>
      <c r="D74" t="s">
        <v>1098</v>
      </c>
      <c r="E74" t="s">
        <v>1099</v>
      </c>
      <c r="F74">
        <v>1709</v>
      </c>
      <c r="G74" t="s">
        <v>1100</v>
      </c>
    </row>
    <row r="75" spans="1:7" x14ac:dyDescent="0.3">
      <c r="A75" s="1">
        <v>45153</v>
      </c>
      <c r="B75" t="s">
        <v>1101</v>
      </c>
      <c r="C75" t="s">
        <v>1102</v>
      </c>
      <c r="D75" t="s">
        <v>1098</v>
      </c>
      <c r="E75" t="s">
        <v>1099</v>
      </c>
      <c r="F75">
        <v>1738</v>
      </c>
      <c r="G75" t="s">
        <v>1100</v>
      </c>
    </row>
    <row r="76" spans="1:7" x14ac:dyDescent="0.3">
      <c r="A76" s="1">
        <v>45153</v>
      </c>
      <c r="B76" t="s">
        <v>1103</v>
      </c>
      <c r="C76" t="s">
        <v>1104</v>
      </c>
      <c r="D76" t="s">
        <v>1105</v>
      </c>
      <c r="E76" t="s">
        <v>1099</v>
      </c>
      <c r="F76">
        <v>2229</v>
      </c>
      <c r="G76" t="s">
        <v>1100</v>
      </c>
    </row>
    <row r="77" spans="1:7" x14ac:dyDescent="0.3">
      <c r="A77" s="1">
        <v>45153</v>
      </c>
      <c r="B77" t="s">
        <v>1106</v>
      </c>
      <c r="C77" t="s">
        <v>1107</v>
      </c>
      <c r="D77" t="s">
        <v>1108</v>
      </c>
      <c r="E77" t="s">
        <v>1109</v>
      </c>
      <c r="F77">
        <v>1225</v>
      </c>
      <c r="G77" t="s">
        <v>1100</v>
      </c>
    </row>
    <row r="78" spans="1:7" x14ac:dyDescent="0.3">
      <c r="A78" s="1">
        <v>45184</v>
      </c>
      <c r="B78" t="s">
        <v>1096</v>
      </c>
      <c r="C78" t="s">
        <v>1097</v>
      </c>
      <c r="D78" t="s">
        <v>1098</v>
      </c>
      <c r="E78" t="s">
        <v>1099</v>
      </c>
      <c r="F78">
        <v>1710</v>
      </c>
      <c r="G78" t="s">
        <v>1100</v>
      </c>
    </row>
    <row r="79" spans="1:7" x14ac:dyDescent="0.3">
      <c r="A79" s="1">
        <v>45184</v>
      </c>
      <c r="B79" t="s">
        <v>1101</v>
      </c>
      <c r="C79" t="s">
        <v>1102</v>
      </c>
      <c r="D79" t="s">
        <v>1098</v>
      </c>
      <c r="E79" t="s">
        <v>1099</v>
      </c>
      <c r="F79">
        <v>1827</v>
      </c>
      <c r="G79" t="s">
        <v>1100</v>
      </c>
    </row>
    <row r="80" spans="1:7" x14ac:dyDescent="0.3">
      <c r="A80" s="1">
        <v>45184</v>
      </c>
      <c r="B80" t="s">
        <v>1103</v>
      </c>
      <c r="C80" t="s">
        <v>1104</v>
      </c>
      <c r="D80" t="s">
        <v>1105</v>
      </c>
      <c r="E80" t="s">
        <v>1099</v>
      </c>
      <c r="F80">
        <v>2258</v>
      </c>
      <c r="G80" t="s">
        <v>1100</v>
      </c>
    </row>
    <row r="81" spans="1:7" x14ac:dyDescent="0.3">
      <c r="A81" s="1">
        <v>45184</v>
      </c>
      <c r="B81" t="s">
        <v>1106</v>
      </c>
      <c r="C81" t="s">
        <v>1107</v>
      </c>
      <c r="D81" t="s">
        <v>1108</v>
      </c>
      <c r="E81" t="s">
        <v>1109</v>
      </c>
      <c r="F81">
        <v>1155</v>
      </c>
      <c r="G81" t="s">
        <v>1100</v>
      </c>
    </row>
    <row r="82" spans="1:7" x14ac:dyDescent="0.3">
      <c r="A82" s="1">
        <v>45214</v>
      </c>
      <c r="B82" t="s">
        <v>1096</v>
      </c>
      <c r="C82" t="s">
        <v>1097</v>
      </c>
      <c r="D82" t="s">
        <v>1098</v>
      </c>
      <c r="E82" t="s">
        <v>1099</v>
      </c>
      <c r="F82">
        <v>1782</v>
      </c>
      <c r="G82" t="s">
        <v>1100</v>
      </c>
    </row>
    <row r="83" spans="1:7" x14ac:dyDescent="0.3">
      <c r="A83" s="1">
        <v>45214</v>
      </c>
      <c r="B83" t="s">
        <v>1101</v>
      </c>
      <c r="C83" t="s">
        <v>1102</v>
      </c>
      <c r="D83" t="s">
        <v>1098</v>
      </c>
      <c r="E83" t="s">
        <v>1099</v>
      </c>
      <c r="F83">
        <v>1786</v>
      </c>
      <c r="G83" t="s">
        <v>1100</v>
      </c>
    </row>
    <row r="84" spans="1:7" x14ac:dyDescent="0.3">
      <c r="A84" s="1">
        <v>45214</v>
      </c>
      <c r="B84" t="s">
        <v>1103</v>
      </c>
      <c r="C84" t="s">
        <v>1104</v>
      </c>
      <c r="D84" t="s">
        <v>1105</v>
      </c>
      <c r="E84" t="s">
        <v>1099</v>
      </c>
      <c r="F84">
        <v>2198</v>
      </c>
      <c r="G84" t="s">
        <v>1100</v>
      </c>
    </row>
    <row r="85" spans="1:7" x14ac:dyDescent="0.3">
      <c r="A85" s="1">
        <v>45214</v>
      </c>
      <c r="B85" t="s">
        <v>1106</v>
      </c>
      <c r="C85" t="s">
        <v>1107</v>
      </c>
      <c r="D85" t="s">
        <v>1108</v>
      </c>
      <c r="E85" t="s">
        <v>1109</v>
      </c>
      <c r="F85">
        <v>1248</v>
      </c>
      <c r="G85" t="s">
        <v>1100</v>
      </c>
    </row>
    <row r="86" spans="1:7" x14ac:dyDescent="0.3">
      <c r="A86" s="1">
        <v>45245</v>
      </c>
      <c r="B86" t="s">
        <v>1096</v>
      </c>
      <c r="C86" t="s">
        <v>1097</v>
      </c>
      <c r="D86" t="s">
        <v>1098</v>
      </c>
      <c r="E86" t="s">
        <v>1099</v>
      </c>
      <c r="F86">
        <v>1772</v>
      </c>
      <c r="G86" t="s">
        <v>1100</v>
      </c>
    </row>
    <row r="87" spans="1:7" x14ac:dyDescent="0.3">
      <c r="A87" s="1">
        <v>45245</v>
      </c>
      <c r="B87" t="s">
        <v>1101</v>
      </c>
      <c r="C87" t="s">
        <v>1102</v>
      </c>
      <c r="D87" t="s">
        <v>1098</v>
      </c>
      <c r="E87" t="s">
        <v>1099</v>
      </c>
      <c r="F87">
        <v>1805</v>
      </c>
      <c r="G87" t="s">
        <v>1100</v>
      </c>
    </row>
    <row r="88" spans="1:7" x14ac:dyDescent="0.3">
      <c r="A88" s="1">
        <v>45245</v>
      </c>
      <c r="B88" t="s">
        <v>1103</v>
      </c>
      <c r="C88" t="s">
        <v>1104</v>
      </c>
      <c r="D88" t="s">
        <v>1105</v>
      </c>
      <c r="E88" t="s">
        <v>1099</v>
      </c>
      <c r="F88">
        <v>2289</v>
      </c>
      <c r="G88" t="s">
        <v>1100</v>
      </c>
    </row>
    <row r="89" spans="1:7" x14ac:dyDescent="0.3">
      <c r="A89" s="1">
        <v>45245</v>
      </c>
      <c r="B89" t="s">
        <v>1106</v>
      </c>
      <c r="C89" t="s">
        <v>1107</v>
      </c>
      <c r="D89" t="s">
        <v>1108</v>
      </c>
      <c r="E89" t="s">
        <v>1109</v>
      </c>
      <c r="F89">
        <v>1214</v>
      </c>
      <c r="G89" t="s">
        <v>1100</v>
      </c>
    </row>
    <row r="90" spans="1:7" x14ac:dyDescent="0.3">
      <c r="A90" s="1">
        <v>45275</v>
      </c>
      <c r="B90" t="s">
        <v>1096</v>
      </c>
      <c r="C90" t="s">
        <v>1097</v>
      </c>
      <c r="D90" t="s">
        <v>1098</v>
      </c>
      <c r="E90" t="s">
        <v>1099</v>
      </c>
      <c r="F90">
        <v>1706</v>
      </c>
      <c r="G90" t="s">
        <v>1100</v>
      </c>
    </row>
    <row r="91" spans="1:7" x14ac:dyDescent="0.3">
      <c r="A91" s="1">
        <v>45275</v>
      </c>
      <c r="B91" t="s">
        <v>1101</v>
      </c>
      <c r="C91" t="s">
        <v>1102</v>
      </c>
      <c r="D91" t="s">
        <v>1098</v>
      </c>
      <c r="E91" t="s">
        <v>1099</v>
      </c>
      <c r="F91">
        <v>1729</v>
      </c>
      <c r="G91" t="s">
        <v>1100</v>
      </c>
    </row>
    <row r="92" spans="1:7" x14ac:dyDescent="0.3">
      <c r="A92" s="1">
        <v>45275</v>
      </c>
      <c r="B92" t="s">
        <v>1103</v>
      </c>
      <c r="C92" t="s">
        <v>1104</v>
      </c>
      <c r="D92" t="s">
        <v>1105</v>
      </c>
      <c r="E92" t="s">
        <v>1099</v>
      </c>
      <c r="F92">
        <v>2243</v>
      </c>
      <c r="G92" t="s">
        <v>1100</v>
      </c>
    </row>
    <row r="93" spans="1:7" x14ac:dyDescent="0.3">
      <c r="A93" s="1">
        <v>45275</v>
      </c>
      <c r="B93" t="s">
        <v>1106</v>
      </c>
      <c r="C93" t="s">
        <v>1107</v>
      </c>
      <c r="D93" t="s">
        <v>1108</v>
      </c>
      <c r="E93" t="s">
        <v>1109</v>
      </c>
      <c r="F93">
        <v>1196</v>
      </c>
      <c r="G93" t="s">
        <v>1100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E59C-34CF-4587-9932-C0D04F8863DE}">
  <dimension ref="A1:H134"/>
  <sheetViews>
    <sheetView workbookViewId="0">
      <selection activeCell="K5" sqref="K5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13.88671875" bestFit="1" customWidth="1"/>
    <col min="4" max="4" width="10.33203125" bestFit="1" customWidth="1"/>
    <col min="5" max="5" width="6.88671875" bestFit="1" customWidth="1"/>
    <col min="6" max="6" width="9.5546875" bestFit="1" customWidth="1"/>
    <col min="7" max="7" width="9.88671875" bestFit="1" customWidth="1"/>
    <col min="8" max="8" width="8.88671875" style="5"/>
  </cols>
  <sheetData>
    <row r="1" spans="1:8" x14ac:dyDescent="0.3">
      <c r="A1" t="s">
        <v>0</v>
      </c>
      <c r="B1" t="s">
        <v>1</v>
      </c>
      <c r="C1" t="s">
        <v>947</v>
      </c>
      <c r="D1" t="s">
        <v>3</v>
      </c>
      <c r="E1" t="s">
        <v>4</v>
      </c>
      <c r="F1" t="s">
        <v>5</v>
      </c>
      <c r="G1" t="s">
        <v>6</v>
      </c>
      <c r="H1" s="5" t="s">
        <v>1148</v>
      </c>
    </row>
    <row r="2" spans="1:8" x14ac:dyDescent="0.3">
      <c r="A2" s="1">
        <v>44562</v>
      </c>
      <c r="B2" t="s">
        <v>948</v>
      </c>
      <c r="C2" t="s">
        <v>949</v>
      </c>
      <c r="D2" t="s">
        <v>950</v>
      </c>
      <c r="E2" t="s">
        <v>17</v>
      </c>
      <c r="F2">
        <v>229</v>
      </c>
      <c r="G2">
        <v>229</v>
      </c>
      <c r="H2" s="5">
        <f>DATE(YEAR(credit_card_account[[#This Row],[date]]),MONTH(credit_card_account[[#This Row],[date]]),1)</f>
        <v>44562</v>
      </c>
    </row>
    <row r="3" spans="1:8" x14ac:dyDescent="0.3">
      <c r="A3" s="1">
        <v>44569</v>
      </c>
      <c r="B3" t="s">
        <v>951</v>
      </c>
      <c r="C3" t="s">
        <v>952</v>
      </c>
      <c r="D3" t="s">
        <v>953</v>
      </c>
      <c r="E3" t="s">
        <v>17</v>
      </c>
      <c r="F3">
        <v>444</v>
      </c>
      <c r="G3">
        <v>673</v>
      </c>
      <c r="H3" s="5">
        <f>DATE(YEAR(credit_card_account[[#This Row],[date]]),MONTH(credit_card_account[[#This Row],[date]]),1)</f>
        <v>44562</v>
      </c>
    </row>
    <row r="4" spans="1:8" x14ac:dyDescent="0.3">
      <c r="A4" s="1">
        <v>44571</v>
      </c>
      <c r="B4" t="s">
        <v>954</v>
      </c>
      <c r="C4" t="s">
        <v>955</v>
      </c>
      <c r="D4" t="s">
        <v>956</v>
      </c>
      <c r="E4" t="s">
        <v>10</v>
      </c>
      <c r="F4">
        <v>428</v>
      </c>
      <c r="G4">
        <v>245</v>
      </c>
      <c r="H4" s="5">
        <f>DATE(YEAR(credit_card_account[[#This Row],[date]]),MONTH(credit_card_account[[#This Row],[date]]),1)</f>
        <v>44562</v>
      </c>
    </row>
    <row r="5" spans="1:8" x14ac:dyDescent="0.3">
      <c r="A5" s="1">
        <v>44576</v>
      </c>
      <c r="B5" t="s">
        <v>957</v>
      </c>
      <c r="C5" t="s">
        <v>949</v>
      </c>
      <c r="D5" t="s">
        <v>958</v>
      </c>
      <c r="E5" t="s">
        <v>17</v>
      </c>
      <c r="F5">
        <v>360</v>
      </c>
      <c r="G5">
        <v>605</v>
      </c>
      <c r="H5" s="5">
        <f>DATE(YEAR(credit_card_account[[#This Row],[date]]),MONTH(credit_card_account[[#This Row],[date]]),1)</f>
        <v>44562</v>
      </c>
    </row>
    <row r="6" spans="1:8" x14ac:dyDescent="0.3">
      <c r="A6" s="1">
        <v>44583</v>
      </c>
      <c r="B6" t="s">
        <v>959</v>
      </c>
      <c r="C6" t="s">
        <v>960</v>
      </c>
      <c r="D6" t="s">
        <v>958</v>
      </c>
      <c r="E6" t="s">
        <v>17</v>
      </c>
      <c r="F6">
        <v>539</v>
      </c>
      <c r="G6">
        <v>1144</v>
      </c>
      <c r="H6" s="5">
        <f>DATE(YEAR(credit_card_account[[#This Row],[date]]),MONTH(credit_card_account[[#This Row],[date]]),1)</f>
        <v>44562</v>
      </c>
    </row>
    <row r="7" spans="1:8" x14ac:dyDescent="0.3">
      <c r="A7" s="1">
        <v>44585</v>
      </c>
      <c r="B7" t="s">
        <v>961</v>
      </c>
      <c r="C7" t="s">
        <v>955</v>
      </c>
      <c r="D7" t="s">
        <v>956</v>
      </c>
      <c r="E7" t="s">
        <v>10</v>
      </c>
      <c r="F7">
        <v>486</v>
      </c>
      <c r="G7">
        <v>658</v>
      </c>
      <c r="H7" s="5">
        <f>DATE(YEAR(credit_card_account[[#This Row],[date]]),MONTH(credit_card_account[[#This Row],[date]]),1)</f>
        <v>44562</v>
      </c>
    </row>
    <row r="8" spans="1:8" x14ac:dyDescent="0.3">
      <c r="A8" s="1">
        <v>44590</v>
      </c>
      <c r="B8" t="s">
        <v>962</v>
      </c>
      <c r="C8" t="s">
        <v>963</v>
      </c>
      <c r="D8" t="s">
        <v>964</v>
      </c>
      <c r="E8" t="s">
        <v>17</v>
      </c>
      <c r="F8">
        <v>494</v>
      </c>
      <c r="G8">
        <v>1152</v>
      </c>
      <c r="H8" s="5">
        <f>DATE(YEAR(credit_card_account[[#This Row],[date]]),MONTH(credit_card_account[[#This Row],[date]]),1)</f>
        <v>44562</v>
      </c>
    </row>
    <row r="9" spans="1:8" x14ac:dyDescent="0.3">
      <c r="A9" s="1">
        <v>44597</v>
      </c>
      <c r="B9" t="s">
        <v>965</v>
      </c>
      <c r="C9" t="s">
        <v>963</v>
      </c>
      <c r="D9" t="s">
        <v>958</v>
      </c>
      <c r="E9" t="s">
        <v>17</v>
      </c>
      <c r="F9">
        <v>179</v>
      </c>
      <c r="G9">
        <v>1331</v>
      </c>
      <c r="H9" s="5">
        <f>DATE(YEAR(credit_card_account[[#This Row],[date]]),MONTH(credit_card_account[[#This Row],[date]]),1)</f>
        <v>44593</v>
      </c>
    </row>
    <row r="10" spans="1:8" x14ac:dyDescent="0.3">
      <c r="A10" s="1">
        <v>44604</v>
      </c>
      <c r="B10" t="s">
        <v>966</v>
      </c>
      <c r="C10" t="s">
        <v>952</v>
      </c>
      <c r="D10" t="s">
        <v>958</v>
      </c>
      <c r="E10" t="s">
        <v>17</v>
      </c>
      <c r="F10">
        <v>449</v>
      </c>
      <c r="G10">
        <v>1780</v>
      </c>
      <c r="H10" s="5">
        <f>DATE(YEAR(credit_card_account[[#This Row],[date]]),MONTH(credit_card_account[[#This Row],[date]]),1)</f>
        <v>44593</v>
      </c>
    </row>
    <row r="11" spans="1:8" x14ac:dyDescent="0.3">
      <c r="A11" s="1">
        <v>44611</v>
      </c>
      <c r="B11" t="s">
        <v>967</v>
      </c>
      <c r="C11" t="s">
        <v>949</v>
      </c>
      <c r="D11" t="s">
        <v>953</v>
      </c>
      <c r="E11" t="s">
        <v>17</v>
      </c>
      <c r="F11">
        <v>363</v>
      </c>
      <c r="G11">
        <v>2143</v>
      </c>
      <c r="H11" s="5">
        <f>DATE(YEAR(credit_card_account[[#This Row],[date]]),MONTH(credit_card_account[[#This Row],[date]]),1)</f>
        <v>44593</v>
      </c>
    </row>
    <row r="12" spans="1:8" x14ac:dyDescent="0.3">
      <c r="A12" s="1">
        <v>44618</v>
      </c>
      <c r="B12" t="s">
        <v>968</v>
      </c>
      <c r="C12" t="s">
        <v>963</v>
      </c>
      <c r="D12" t="s">
        <v>953</v>
      </c>
      <c r="E12" t="s">
        <v>17</v>
      </c>
      <c r="F12">
        <v>163</v>
      </c>
      <c r="G12">
        <v>2306</v>
      </c>
      <c r="H12" s="5">
        <f>DATE(YEAR(credit_card_account[[#This Row],[date]]),MONTH(credit_card_account[[#This Row],[date]]),1)</f>
        <v>44593</v>
      </c>
    </row>
    <row r="13" spans="1:8" x14ac:dyDescent="0.3">
      <c r="A13" s="1">
        <v>44625</v>
      </c>
      <c r="B13" t="s">
        <v>969</v>
      </c>
      <c r="C13" t="s">
        <v>952</v>
      </c>
      <c r="D13" t="s">
        <v>964</v>
      </c>
      <c r="E13" t="s">
        <v>17</v>
      </c>
      <c r="F13">
        <v>206</v>
      </c>
      <c r="G13">
        <v>2512</v>
      </c>
      <c r="H13" s="5">
        <f>DATE(YEAR(credit_card_account[[#This Row],[date]]),MONTH(credit_card_account[[#This Row],[date]]),1)</f>
        <v>44621</v>
      </c>
    </row>
    <row r="14" spans="1:8" x14ac:dyDescent="0.3">
      <c r="A14" s="1">
        <v>44632</v>
      </c>
      <c r="B14" t="s">
        <v>970</v>
      </c>
      <c r="C14" t="s">
        <v>952</v>
      </c>
      <c r="D14" t="s">
        <v>958</v>
      </c>
      <c r="E14" t="s">
        <v>17</v>
      </c>
      <c r="F14">
        <v>264</v>
      </c>
      <c r="G14">
        <v>2776</v>
      </c>
      <c r="H14" s="5">
        <f>DATE(YEAR(credit_card_account[[#This Row],[date]]),MONTH(credit_card_account[[#This Row],[date]]),1)</f>
        <v>44621</v>
      </c>
    </row>
    <row r="15" spans="1:8" x14ac:dyDescent="0.3">
      <c r="A15" s="1">
        <v>44639</v>
      </c>
      <c r="B15" t="s">
        <v>971</v>
      </c>
      <c r="C15" t="s">
        <v>960</v>
      </c>
      <c r="D15" t="s">
        <v>964</v>
      </c>
      <c r="E15" t="s">
        <v>17</v>
      </c>
      <c r="F15">
        <v>411</v>
      </c>
      <c r="G15">
        <v>3187</v>
      </c>
      <c r="H15" s="5">
        <f>DATE(YEAR(credit_card_account[[#This Row],[date]]),MONTH(credit_card_account[[#This Row],[date]]),1)</f>
        <v>44621</v>
      </c>
    </row>
    <row r="16" spans="1:8" x14ac:dyDescent="0.3">
      <c r="A16" s="1">
        <v>44646</v>
      </c>
      <c r="B16" t="s">
        <v>972</v>
      </c>
      <c r="C16" t="s">
        <v>949</v>
      </c>
      <c r="D16" t="s">
        <v>958</v>
      </c>
      <c r="E16" t="s">
        <v>17</v>
      </c>
      <c r="F16">
        <v>207</v>
      </c>
      <c r="G16">
        <v>3394</v>
      </c>
      <c r="H16" s="5">
        <f>DATE(YEAR(credit_card_account[[#This Row],[date]]),MONTH(credit_card_account[[#This Row],[date]]),1)</f>
        <v>44621</v>
      </c>
    </row>
    <row r="17" spans="1:8" x14ac:dyDescent="0.3">
      <c r="A17" s="1">
        <v>44648</v>
      </c>
      <c r="B17" t="s">
        <v>973</v>
      </c>
      <c r="C17" t="s">
        <v>955</v>
      </c>
      <c r="D17" t="s">
        <v>956</v>
      </c>
      <c r="E17" t="s">
        <v>10</v>
      </c>
      <c r="F17">
        <v>533</v>
      </c>
      <c r="G17">
        <v>2861</v>
      </c>
      <c r="H17" s="5">
        <f>DATE(YEAR(credit_card_account[[#This Row],[date]]),MONTH(credit_card_account[[#This Row],[date]]),1)</f>
        <v>44621</v>
      </c>
    </row>
    <row r="18" spans="1:8" x14ac:dyDescent="0.3">
      <c r="A18" s="1">
        <v>44653</v>
      </c>
      <c r="B18" t="s">
        <v>974</v>
      </c>
      <c r="C18" t="s">
        <v>952</v>
      </c>
      <c r="D18" t="s">
        <v>964</v>
      </c>
      <c r="E18" t="s">
        <v>17</v>
      </c>
      <c r="F18">
        <v>229</v>
      </c>
      <c r="G18">
        <v>3090</v>
      </c>
      <c r="H18" s="5">
        <f>DATE(YEAR(credit_card_account[[#This Row],[date]]),MONTH(credit_card_account[[#This Row],[date]]),1)</f>
        <v>44652</v>
      </c>
    </row>
    <row r="19" spans="1:8" x14ac:dyDescent="0.3">
      <c r="A19" s="1">
        <v>44655</v>
      </c>
      <c r="B19" t="s">
        <v>975</v>
      </c>
      <c r="C19" t="s">
        <v>955</v>
      </c>
      <c r="D19" t="s">
        <v>956</v>
      </c>
      <c r="E19" t="s">
        <v>10</v>
      </c>
      <c r="F19">
        <v>481</v>
      </c>
      <c r="G19">
        <v>2609</v>
      </c>
      <c r="H19" s="5">
        <f>DATE(YEAR(credit_card_account[[#This Row],[date]]),MONTH(credit_card_account[[#This Row],[date]]),1)</f>
        <v>44652</v>
      </c>
    </row>
    <row r="20" spans="1:8" x14ac:dyDescent="0.3">
      <c r="A20" s="1">
        <v>44660</v>
      </c>
      <c r="B20" t="s">
        <v>976</v>
      </c>
      <c r="C20" t="s">
        <v>952</v>
      </c>
      <c r="D20" t="s">
        <v>964</v>
      </c>
      <c r="E20" t="s">
        <v>17</v>
      </c>
      <c r="F20">
        <v>384</v>
      </c>
      <c r="G20">
        <v>2993</v>
      </c>
      <c r="H20" s="5">
        <f>DATE(YEAR(credit_card_account[[#This Row],[date]]),MONTH(credit_card_account[[#This Row],[date]]),1)</f>
        <v>44652</v>
      </c>
    </row>
    <row r="21" spans="1:8" x14ac:dyDescent="0.3">
      <c r="A21" s="1">
        <v>44662</v>
      </c>
      <c r="B21" t="s">
        <v>977</v>
      </c>
      <c r="C21" t="s">
        <v>955</v>
      </c>
      <c r="D21" t="s">
        <v>956</v>
      </c>
      <c r="E21" t="s">
        <v>10</v>
      </c>
      <c r="F21">
        <v>684</v>
      </c>
      <c r="G21">
        <v>2309</v>
      </c>
      <c r="H21" s="5">
        <f>DATE(YEAR(credit_card_account[[#This Row],[date]]),MONTH(credit_card_account[[#This Row],[date]]),1)</f>
        <v>44652</v>
      </c>
    </row>
    <row r="22" spans="1:8" x14ac:dyDescent="0.3">
      <c r="A22" s="1">
        <v>44667</v>
      </c>
      <c r="B22" t="s">
        <v>978</v>
      </c>
      <c r="C22" t="s">
        <v>949</v>
      </c>
      <c r="D22" t="s">
        <v>958</v>
      </c>
      <c r="E22" t="s">
        <v>17</v>
      </c>
      <c r="F22">
        <v>344</v>
      </c>
      <c r="G22">
        <v>2653</v>
      </c>
      <c r="H22" s="5">
        <f>DATE(YEAR(credit_card_account[[#This Row],[date]]),MONTH(credit_card_account[[#This Row],[date]]),1)</f>
        <v>44652</v>
      </c>
    </row>
    <row r="23" spans="1:8" x14ac:dyDescent="0.3">
      <c r="A23" s="1">
        <v>44669</v>
      </c>
      <c r="B23" t="s">
        <v>979</v>
      </c>
      <c r="C23" t="s">
        <v>955</v>
      </c>
      <c r="D23" t="s">
        <v>956</v>
      </c>
      <c r="E23" t="s">
        <v>10</v>
      </c>
      <c r="F23">
        <v>405</v>
      </c>
      <c r="G23">
        <v>2248</v>
      </c>
      <c r="H23" s="5">
        <f>DATE(YEAR(credit_card_account[[#This Row],[date]]),MONTH(credit_card_account[[#This Row],[date]]),1)</f>
        <v>44652</v>
      </c>
    </row>
    <row r="24" spans="1:8" x14ac:dyDescent="0.3">
      <c r="A24" s="1">
        <v>44674</v>
      </c>
      <c r="B24" t="s">
        <v>980</v>
      </c>
      <c r="C24" t="s">
        <v>963</v>
      </c>
      <c r="D24" t="s">
        <v>953</v>
      </c>
      <c r="E24" t="s">
        <v>17</v>
      </c>
      <c r="F24">
        <v>111</v>
      </c>
      <c r="G24">
        <v>2359</v>
      </c>
      <c r="H24" s="5">
        <f>DATE(YEAR(credit_card_account[[#This Row],[date]]),MONTH(credit_card_account[[#This Row],[date]]),1)</f>
        <v>44652</v>
      </c>
    </row>
    <row r="25" spans="1:8" x14ac:dyDescent="0.3">
      <c r="A25" s="1">
        <v>44681</v>
      </c>
      <c r="B25" t="s">
        <v>981</v>
      </c>
      <c r="C25" t="s">
        <v>949</v>
      </c>
      <c r="D25" t="s">
        <v>964</v>
      </c>
      <c r="E25" t="s">
        <v>17</v>
      </c>
      <c r="F25">
        <v>315</v>
      </c>
      <c r="G25">
        <v>2674</v>
      </c>
      <c r="H25" s="5">
        <f>DATE(YEAR(credit_card_account[[#This Row],[date]]),MONTH(credit_card_account[[#This Row],[date]]),1)</f>
        <v>44652</v>
      </c>
    </row>
    <row r="26" spans="1:8" x14ac:dyDescent="0.3">
      <c r="A26" s="1">
        <v>44683</v>
      </c>
      <c r="B26" t="s">
        <v>982</v>
      </c>
      <c r="C26" t="s">
        <v>955</v>
      </c>
      <c r="D26" t="s">
        <v>956</v>
      </c>
      <c r="E26" t="s">
        <v>10</v>
      </c>
      <c r="F26">
        <v>416</v>
      </c>
      <c r="G26">
        <v>2258</v>
      </c>
      <c r="H26" s="5">
        <f>DATE(YEAR(credit_card_account[[#This Row],[date]]),MONTH(credit_card_account[[#This Row],[date]]),1)</f>
        <v>44682</v>
      </c>
    </row>
    <row r="27" spans="1:8" x14ac:dyDescent="0.3">
      <c r="A27" s="1">
        <v>44688</v>
      </c>
      <c r="B27" t="s">
        <v>983</v>
      </c>
      <c r="C27" t="s">
        <v>952</v>
      </c>
      <c r="D27" t="s">
        <v>958</v>
      </c>
      <c r="E27" t="s">
        <v>17</v>
      </c>
      <c r="F27">
        <v>405</v>
      </c>
      <c r="G27">
        <v>2663</v>
      </c>
      <c r="H27" s="5">
        <f>DATE(YEAR(credit_card_account[[#This Row],[date]]),MONTH(credit_card_account[[#This Row],[date]]),1)</f>
        <v>44682</v>
      </c>
    </row>
    <row r="28" spans="1:8" x14ac:dyDescent="0.3">
      <c r="A28" s="1">
        <v>44695</v>
      </c>
      <c r="B28" t="s">
        <v>984</v>
      </c>
      <c r="C28" t="s">
        <v>949</v>
      </c>
      <c r="D28" t="s">
        <v>964</v>
      </c>
      <c r="E28" t="s">
        <v>17</v>
      </c>
      <c r="F28">
        <v>283</v>
      </c>
      <c r="G28">
        <v>2946</v>
      </c>
      <c r="H28" s="5">
        <f>DATE(YEAR(credit_card_account[[#This Row],[date]]),MONTH(credit_card_account[[#This Row],[date]]),1)</f>
        <v>44682</v>
      </c>
    </row>
    <row r="29" spans="1:8" x14ac:dyDescent="0.3">
      <c r="A29" s="1">
        <v>44702</v>
      </c>
      <c r="B29" t="s">
        <v>985</v>
      </c>
      <c r="C29" t="s">
        <v>963</v>
      </c>
      <c r="D29" t="s">
        <v>953</v>
      </c>
      <c r="E29" t="s">
        <v>17</v>
      </c>
      <c r="F29">
        <v>527</v>
      </c>
      <c r="G29">
        <v>3473</v>
      </c>
      <c r="H29" s="5">
        <f>DATE(YEAR(credit_card_account[[#This Row],[date]]),MONTH(credit_card_account[[#This Row],[date]]),1)</f>
        <v>44682</v>
      </c>
    </row>
    <row r="30" spans="1:8" x14ac:dyDescent="0.3">
      <c r="A30" s="1">
        <v>44704</v>
      </c>
      <c r="B30" t="s">
        <v>986</v>
      </c>
      <c r="C30" t="s">
        <v>955</v>
      </c>
      <c r="D30" t="s">
        <v>956</v>
      </c>
      <c r="E30" t="s">
        <v>10</v>
      </c>
      <c r="F30">
        <v>507</v>
      </c>
      <c r="G30">
        <v>2966</v>
      </c>
      <c r="H30" s="5">
        <f>DATE(YEAR(credit_card_account[[#This Row],[date]]),MONTH(credit_card_account[[#This Row],[date]]),1)</f>
        <v>44682</v>
      </c>
    </row>
    <row r="31" spans="1:8" x14ac:dyDescent="0.3">
      <c r="A31" s="1">
        <v>44709</v>
      </c>
      <c r="B31" t="s">
        <v>987</v>
      </c>
      <c r="C31" t="s">
        <v>963</v>
      </c>
      <c r="D31" t="s">
        <v>950</v>
      </c>
      <c r="E31" t="s">
        <v>17</v>
      </c>
      <c r="F31">
        <v>435</v>
      </c>
      <c r="G31">
        <v>3401</v>
      </c>
      <c r="H31" s="5">
        <f>DATE(YEAR(credit_card_account[[#This Row],[date]]),MONTH(credit_card_account[[#This Row],[date]]),1)</f>
        <v>44682</v>
      </c>
    </row>
    <row r="32" spans="1:8" x14ac:dyDescent="0.3">
      <c r="A32" s="1">
        <v>44716</v>
      </c>
      <c r="B32" t="s">
        <v>988</v>
      </c>
      <c r="C32" t="s">
        <v>963</v>
      </c>
      <c r="D32" t="s">
        <v>958</v>
      </c>
      <c r="E32" t="s">
        <v>17</v>
      </c>
      <c r="F32">
        <v>107</v>
      </c>
      <c r="G32">
        <v>3508</v>
      </c>
      <c r="H32" s="5">
        <f>DATE(YEAR(credit_card_account[[#This Row],[date]]),MONTH(credit_card_account[[#This Row],[date]]),1)</f>
        <v>44713</v>
      </c>
    </row>
    <row r="33" spans="1:8" x14ac:dyDescent="0.3">
      <c r="A33" s="1">
        <v>44718</v>
      </c>
      <c r="B33" t="s">
        <v>989</v>
      </c>
      <c r="C33" t="s">
        <v>955</v>
      </c>
      <c r="D33" t="s">
        <v>956</v>
      </c>
      <c r="E33" t="s">
        <v>10</v>
      </c>
      <c r="F33">
        <v>551</v>
      </c>
      <c r="G33">
        <v>2957</v>
      </c>
      <c r="H33" s="5">
        <f>DATE(YEAR(credit_card_account[[#This Row],[date]]),MONTH(credit_card_account[[#This Row],[date]]),1)</f>
        <v>44713</v>
      </c>
    </row>
    <row r="34" spans="1:8" x14ac:dyDescent="0.3">
      <c r="A34" s="1">
        <v>44723</v>
      </c>
      <c r="B34" t="s">
        <v>990</v>
      </c>
      <c r="C34" t="s">
        <v>952</v>
      </c>
      <c r="D34" t="s">
        <v>964</v>
      </c>
      <c r="E34" t="s">
        <v>17</v>
      </c>
      <c r="F34">
        <v>457</v>
      </c>
      <c r="G34">
        <v>3414</v>
      </c>
      <c r="H34" s="5">
        <f>DATE(YEAR(credit_card_account[[#This Row],[date]]),MONTH(credit_card_account[[#This Row],[date]]),1)</f>
        <v>44713</v>
      </c>
    </row>
    <row r="35" spans="1:8" x14ac:dyDescent="0.3">
      <c r="A35" s="1">
        <v>44725</v>
      </c>
      <c r="B35" t="s">
        <v>991</v>
      </c>
      <c r="C35" t="s">
        <v>955</v>
      </c>
      <c r="D35" t="s">
        <v>956</v>
      </c>
      <c r="E35" t="s">
        <v>10</v>
      </c>
      <c r="F35">
        <v>392</v>
      </c>
      <c r="G35">
        <v>3022</v>
      </c>
      <c r="H35" s="5">
        <f>DATE(YEAR(credit_card_account[[#This Row],[date]]),MONTH(credit_card_account[[#This Row],[date]]),1)</f>
        <v>44713</v>
      </c>
    </row>
    <row r="36" spans="1:8" x14ac:dyDescent="0.3">
      <c r="A36" s="1">
        <v>44730</v>
      </c>
      <c r="B36" t="s">
        <v>992</v>
      </c>
      <c r="C36" t="s">
        <v>949</v>
      </c>
      <c r="D36" t="s">
        <v>950</v>
      </c>
      <c r="E36" t="s">
        <v>17</v>
      </c>
      <c r="F36">
        <v>410</v>
      </c>
      <c r="G36">
        <v>3432</v>
      </c>
      <c r="H36" s="5">
        <f>DATE(YEAR(credit_card_account[[#This Row],[date]]),MONTH(credit_card_account[[#This Row],[date]]),1)</f>
        <v>44713</v>
      </c>
    </row>
    <row r="37" spans="1:8" x14ac:dyDescent="0.3">
      <c r="A37" s="1">
        <v>44737</v>
      </c>
      <c r="B37" t="s">
        <v>993</v>
      </c>
      <c r="C37" t="s">
        <v>963</v>
      </c>
      <c r="D37" t="s">
        <v>950</v>
      </c>
      <c r="E37" t="s">
        <v>17</v>
      </c>
      <c r="F37">
        <v>513</v>
      </c>
      <c r="G37">
        <v>3945</v>
      </c>
      <c r="H37" s="5">
        <f>DATE(YEAR(credit_card_account[[#This Row],[date]]),MONTH(credit_card_account[[#This Row],[date]]),1)</f>
        <v>44713</v>
      </c>
    </row>
    <row r="38" spans="1:8" x14ac:dyDescent="0.3">
      <c r="A38" s="1">
        <v>44744</v>
      </c>
      <c r="B38" t="s">
        <v>994</v>
      </c>
      <c r="C38" t="s">
        <v>949</v>
      </c>
      <c r="D38" t="s">
        <v>953</v>
      </c>
      <c r="E38" t="s">
        <v>17</v>
      </c>
      <c r="F38">
        <v>235</v>
      </c>
      <c r="G38">
        <v>4180</v>
      </c>
      <c r="H38" s="5">
        <f>DATE(YEAR(credit_card_account[[#This Row],[date]]),MONTH(credit_card_account[[#This Row],[date]]),1)</f>
        <v>44743</v>
      </c>
    </row>
    <row r="39" spans="1:8" x14ac:dyDescent="0.3">
      <c r="A39" s="1">
        <v>44751</v>
      </c>
      <c r="B39" t="s">
        <v>995</v>
      </c>
      <c r="C39" t="s">
        <v>960</v>
      </c>
      <c r="D39" t="s">
        <v>958</v>
      </c>
      <c r="E39" t="s">
        <v>17</v>
      </c>
      <c r="F39">
        <v>574</v>
      </c>
      <c r="G39">
        <v>4754</v>
      </c>
      <c r="H39" s="5">
        <f>DATE(YEAR(credit_card_account[[#This Row],[date]]),MONTH(credit_card_account[[#This Row],[date]]),1)</f>
        <v>44743</v>
      </c>
    </row>
    <row r="40" spans="1:8" x14ac:dyDescent="0.3">
      <c r="A40" s="1">
        <v>44758</v>
      </c>
      <c r="B40" t="s">
        <v>996</v>
      </c>
      <c r="C40" t="s">
        <v>952</v>
      </c>
      <c r="D40" t="s">
        <v>964</v>
      </c>
      <c r="E40" t="s">
        <v>17</v>
      </c>
      <c r="F40">
        <v>388</v>
      </c>
      <c r="G40">
        <v>5142</v>
      </c>
      <c r="H40" s="5">
        <f>DATE(YEAR(credit_card_account[[#This Row],[date]]),MONTH(credit_card_account[[#This Row],[date]]),1)</f>
        <v>44743</v>
      </c>
    </row>
    <row r="41" spans="1:8" x14ac:dyDescent="0.3">
      <c r="A41" s="1">
        <v>44765</v>
      </c>
      <c r="B41" t="s">
        <v>997</v>
      </c>
      <c r="C41" t="s">
        <v>952</v>
      </c>
      <c r="D41" t="s">
        <v>953</v>
      </c>
      <c r="E41" t="s">
        <v>17</v>
      </c>
      <c r="F41">
        <v>241</v>
      </c>
      <c r="G41">
        <v>5383</v>
      </c>
      <c r="H41" s="5">
        <f>DATE(YEAR(credit_card_account[[#This Row],[date]]),MONTH(credit_card_account[[#This Row],[date]]),1)</f>
        <v>44743</v>
      </c>
    </row>
    <row r="42" spans="1:8" x14ac:dyDescent="0.3">
      <c r="A42" s="1">
        <v>44772</v>
      </c>
      <c r="B42" t="s">
        <v>998</v>
      </c>
      <c r="C42" t="s">
        <v>963</v>
      </c>
      <c r="D42" t="s">
        <v>953</v>
      </c>
      <c r="E42" t="s">
        <v>17</v>
      </c>
      <c r="F42">
        <v>189</v>
      </c>
      <c r="G42">
        <v>5572</v>
      </c>
      <c r="H42" s="5">
        <f>DATE(YEAR(credit_card_account[[#This Row],[date]]),MONTH(credit_card_account[[#This Row],[date]]),1)</f>
        <v>44743</v>
      </c>
    </row>
    <row r="43" spans="1:8" x14ac:dyDescent="0.3">
      <c r="A43" s="1">
        <v>44774</v>
      </c>
      <c r="B43" t="s">
        <v>999</v>
      </c>
      <c r="C43" t="s">
        <v>955</v>
      </c>
      <c r="D43" t="s">
        <v>956</v>
      </c>
      <c r="E43" t="s">
        <v>10</v>
      </c>
      <c r="F43">
        <v>774</v>
      </c>
      <c r="G43">
        <v>4798</v>
      </c>
      <c r="H43" s="5">
        <f>DATE(YEAR(credit_card_account[[#This Row],[date]]),MONTH(credit_card_account[[#This Row],[date]]),1)</f>
        <v>44774</v>
      </c>
    </row>
    <row r="44" spans="1:8" x14ac:dyDescent="0.3">
      <c r="A44" s="1">
        <v>44779</v>
      </c>
      <c r="B44" t="s">
        <v>1000</v>
      </c>
      <c r="C44" t="s">
        <v>952</v>
      </c>
      <c r="D44" t="s">
        <v>958</v>
      </c>
      <c r="E44" t="s">
        <v>17</v>
      </c>
      <c r="F44">
        <v>172</v>
      </c>
      <c r="G44">
        <v>4970</v>
      </c>
      <c r="H44" s="5">
        <f>DATE(YEAR(credit_card_account[[#This Row],[date]]),MONTH(credit_card_account[[#This Row],[date]]),1)</f>
        <v>44774</v>
      </c>
    </row>
    <row r="45" spans="1:8" x14ac:dyDescent="0.3">
      <c r="A45" s="1">
        <v>44786</v>
      </c>
      <c r="B45" t="s">
        <v>1001</v>
      </c>
      <c r="C45" t="s">
        <v>952</v>
      </c>
      <c r="D45" t="s">
        <v>958</v>
      </c>
      <c r="E45" t="s">
        <v>17</v>
      </c>
      <c r="F45">
        <v>368</v>
      </c>
      <c r="G45">
        <v>5338</v>
      </c>
      <c r="H45" s="5">
        <f>DATE(YEAR(credit_card_account[[#This Row],[date]]),MONTH(credit_card_account[[#This Row],[date]]),1)</f>
        <v>44774</v>
      </c>
    </row>
    <row r="46" spans="1:8" x14ac:dyDescent="0.3">
      <c r="A46" s="1">
        <v>44793</v>
      </c>
      <c r="B46" t="s">
        <v>1002</v>
      </c>
      <c r="C46" t="s">
        <v>949</v>
      </c>
      <c r="D46" t="s">
        <v>953</v>
      </c>
      <c r="E46" t="s">
        <v>17</v>
      </c>
      <c r="F46">
        <v>588</v>
      </c>
      <c r="G46">
        <v>5926</v>
      </c>
      <c r="H46" s="5">
        <f>DATE(YEAR(credit_card_account[[#This Row],[date]]),MONTH(credit_card_account[[#This Row],[date]]),1)</f>
        <v>44774</v>
      </c>
    </row>
    <row r="47" spans="1:8" x14ac:dyDescent="0.3">
      <c r="A47" s="1">
        <v>44800</v>
      </c>
      <c r="B47" t="s">
        <v>1003</v>
      </c>
      <c r="C47" t="s">
        <v>963</v>
      </c>
      <c r="D47" t="s">
        <v>953</v>
      </c>
      <c r="E47" t="s">
        <v>17</v>
      </c>
      <c r="F47">
        <v>201</v>
      </c>
      <c r="G47">
        <v>6127</v>
      </c>
      <c r="H47" s="5">
        <f>DATE(YEAR(credit_card_account[[#This Row],[date]]),MONTH(credit_card_account[[#This Row],[date]]),1)</f>
        <v>44774</v>
      </c>
    </row>
    <row r="48" spans="1:8" x14ac:dyDescent="0.3">
      <c r="A48" s="1">
        <v>44807</v>
      </c>
      <c r="B48" t="s">
        <v>1004</v>
      </c>
      <c r="C48" t="s">
        <v>963</v>
      </c>
      <c r="D48" t="s">
        <v>950</v>
      </c>
      <c r="E48" t="s">
        <v>17</v>
      </c>
      <c r="F48">
        <v>553</v>
      </c>
      <c r="G48">
        <v>6680</v>
      </c>
      <c r="H48" s="5">
        <f>DATE(YEAR(credit_card_account[[#This Row],[date]]),MONTH(credit_card_account[[#This Row],[date]]),1)</f>
        <v>44805</v>
      </c>
    </row>
    <row r="49" spans="1:8" x14ac:dyDescent="0.3">
      <c r="A49" s="1">
        <v>44814</v>
      </c>
      <c r="B49" t="s">
        <v>1005</v>
      </c>
      <c r="C49" t="s">
        <v>949</v>
      </c>
      <c r="D49" t="s">
        <v>958</v>
      </c>
      <c r="E49" t="s">
        <v>17</v>
      </c>
      <c r="F49">
        <v>378</v>
      </c>
      <c r="G49">
        <v>7058</v>
      </c>
      <c r="H49" s="5">
        <f>DATE(YEAR(credit_card_account[[#This Row],[date]]),MONTH(credit_card_account[[#This Row],[date]]),1)</f>
        <v>44805</v>
      </c>
    </row>
    <row r="50" spans="1:8" x14ac:dyDescent="0.3">
      <c r="A50" s="1">
        <v>44821</v>
      </c>
      <c r="B50" t="s">
        <v>1006</v>
      </c>
      <c r="C50" t="s">
        <v>963</v>
      </c>
      <c r="D50" t="s">
        <v>950</v>
      </c>
      <c r="E50" t="s">
        <v>17</v>
      </c>
      <c r="F50">
        <v>443</v>
      </c>
      <c r="G50">
        <v>7501</v>
      </c>
      <c r="H50" s="5">
        <f>DATE(YEAR(credit_card_account[[#This Row],[date]]),MONTH(credit_card_account[[#This Row],[date]]),1)</f>
        <v>44805</v>
      </c>
    </row>
    <row r="51" spans="1:8" x14ac:dyDescent="0.3">
      <c r="A51" s="1">
        <v>44828</v>
      </c>
      <c r="B51" t="s">
        <v>1007</v>
      </c>
      <c r="C51" t="s">
        <v>949</v>
      </c>
      <c r="D51" t="s">
        <v>958</v>
      </c>
      <c r="E51" t="s">
        <v>17</v>
      </c>
      <c r="F51">
        <v>312</v>
      </c>
      <c r="G51">
        <v>7813</v>
      </c>
      <c r="H51" s="5">
        <f>DATE(YEAR(credit_card_account[[#This Row],[date]]),MONTH(credit_card_account[[#This Row],[date]]),1)</f>
        <v>44805</v>
      </c>
    </row>
    <row r="52" spans="1:8" x14ac:dyDescent="0.3">
      <c r="A52" s="1">
        <v>44835</v>
      </c>
      <c r="B52" t="s">
        <v>1008</v>
      </c>
      <c r="C52" t="s">
        <v>949</v>
      </c>
      <c r="D52" t="s">
        <v>958</v>
      </c>
      <c r="E52" t="s">
        <v>17</v>
      </c>
      <c r="F52">
        <v>298</v>
      </c>
      <c r="G52">
        <v>8111</v>
      </c>
      <c r="H52" s="5">
        <f>DATE(YEAR(credit_card_account[[#This Row],[date]]),MONTH(credit_card_account[[#This Row],[date]]),1)</f>
        <v>44835</v>
      </c>
    </row>
    <row r="53" spans="1:8" x14ac:dyDescent="0.3">
      <c r="A53" s="1">
        <v>44842</v>
      </c>
      <c r="B53" t="s">
        <v>1009</v>
      </c>
      <c r="C53" t="s">
        <v>952</v>
      </c>
      <c r="D53" t="s">
        <v>958</v>
      </c>
      <c r="E53" t="s">
        <v>17</v>
      </c>
      <c r="F53">
        <v>192</v>
      </c>
      <c r="G53">
        <v>8303</v>
      </c>
      <c r="H53" s="5">
        <f>DATE(YEAR(credit_card_account[[#This Row],[date]]),MONTH(credit_card_account[[#This Row],[date]]),1)</f>
        <v>44835</v>
      </c>
    </row>
    <row r="54" spans="1:8" x14ac:dyDescent="0.3">
      <c r="A54" s="1">
        <v>44844</v>
      </c>
      <c r="B54" t="s">
        <v>1010</v>
      </c>
      <c r="C54" t="s">
        <v>955</v>
      </c>
      <c r="D54" t="s">
        <v>956</v>
      </c>
      <c r="E54" t="s">
        <v>10</v>
      </c>
      <c r="F54">
        <v>696</v>
      </c>
      <c r="G54">
        <v>7607</v>
      </c>
      <c r="H54" s="5">
        <f>DATE(YEAR(credit_card_account[[#This Row],[date]]),MONTH(credit_card_account[[#This Row],[date]]),1)</f>
        <v>44835</v>
      </c>
    </row>
    <row r="55" spans="1:8" x14ac:dyDescent="0.3">
      <c r="A55" s="1">
        <v>44849</v>
      </c>
      <c r="B55" t="s">
        <v>1011</v>
      </c>
      <c r="C55" t="s">
        <v>960</v>
      </c>
      <c r="D55" t="s">
        <v>950</v>
      </c>
      <c r="E55" t="s">
        <v>17</v>
      </c>
      <c r="F55">
        <v>390</v>
      </c>
      <c r="G55">
        <v>7997</v>
      </c>
      <c r="H55" s="5">
        <f>DATE(YEAR(credit_card_account[[#This Row],[date]]),MONTH(credit_card_account[[#This Row],[date]]),1)</f>
        <v>44835</v>
      </c>
    </row>
    <row r="56" spans="1:8" x14ac:dyDescent="0.3">
      <c r="A56" s="1">
        <v>44851</v>
      </c>
      <c r="B56" t="s">
        <v>1012</v>
      </c>
      <c r="C56" t="s">
        <v>955</v>
      </c>
      <c r="D56" t="s">
        <v>956</v>
      </c>
      <c r="E56" t="s">
        <v>10</v>
      </c>
      <c r="F56">
        <v>202</v>
      </c>
      <c r="G56">
        <v>7795</v>
      </c>
      <c r="H56" s="5">
        <f>DATE(YEAR(credit_card_account[[#This Row],[date]]),MONTH(credit_card_account[[#This Row],[date]]),1)</f>
        <v>44835</v>
      </c>
    </row>
    <row r="57" spans="1:8" x14ac:dyDescent="0.3">
      <c r="A57" s="1">
        <v>44856</v>
      </c>
      <c r="B57" t="s">
        <v>1013</v>
      </c>
      <c r="C57" t="s">
        <v>963</v>
      </c>
      <c r="D57" t="s">
        <v>953</v>
      </c>
      <c r="E57" t="s">
        <v>17</v>
      </c>
      <c r="F57">
        <v>184</v>
      </c>
      <c r="G57">
        <v>7979</v>
      </c>
      <c r="H57" s="5">
        <f>DATE(YEAR(credit_card_account[[#This Row],[date]]),MONTH(credit_card_account[[#This Row],[date]]),1)</f>
        <v>44835</v>
      </c>
    </row>
    <row r="58" spans="1:8" x14ac:dyDescent="0.3">
      <c r="A58" s="1">
        <v>44863</v>
      </c>
      <c r="B58" t="s">
        <v>1014</v>
      </c>
      <c r="C58" t="s">
        <v>960</v>
      </c>
      <c r="D58" t="s">
        <v>958</v>
      </c>
      <c r="E58" t="s">
        <v>17</v>
      </c>
      <c r="F58">
        <v>553</v>
      </c>
      <c r="G58">
        <v>8532</v>
      </c>
      <c r="H58" s="5">
        <f>DATE(YEAR(credit_card_account[[#This Row],[date]]),MONTH(credit_card_account[[#This Row],[date]]),1)</f>
        <v>44835</v>
      </c>
    </row>
    <row r="59" spans="1:8" x14ac:dyDescent="0.3">
      <c r="A59" s="1">
        <v>44870</v>
      </c>
      <c r="B59" t="s">
        <v>1015</v>
      </c>
      <c r="C59" t="s">
        <v>960</v>
      </c>
      <c r="D59" t="s">
        <v>958</v>
      </c>
      <c r="E59" t="s">
        <v>17</v>
      </c>
      <c r="F59">
        <v>252</v>
      </c>
      <c r="G59">
        <v>8784</v>
      </c>
      <c r="H59" s="5">
        <f>DATE(YEAR(credit_card_account[[#This Row],[date]]),MONTH(credit_card_account[[#This Row],[date]]),1)</f>
        <v>44866</v>
      </c>
    </row>
    <row r="60" spans="1:8" x14ac:dyDescent="0.3">
      <c r="A60" s="1">
        <v>44877</v>
      </c>
      <c r="B60" t="s">
        <v>1016</v>
      </c>
      <c r="C60" t="s">
        <v>949</v>
      </c>
      <c r="D60" t="s">
        <v>953</v>
      </c>
      <c r="E60" t="s">
        <v>17</v>
      </c>
      <c r="F60">
        <v>392</v>
      </c>
      <c r="G60">
        <v>9176</v>
      </c>
      <c r="H60" s="5">
        <f>DATE(YEAR(credit_card_account[[#This Row],[date]]),MONTH(credit_card_account[[#This Row],[date]]),1)</f>
        <v>44866</v>
      </c>
    </row>
    <row r="61" spans="1:8" x14ac:dyDescent="0.3">
      <c r="A61" s="1">
        <v>44884</v>
      </c>
      <c r="B61" t="s">
        <v>1017</v>
      </c>
      <c r="C61" t="s">
        <v>960</v>
      </c>
      <c r="D61" t="s">
        <v>964</v>
      </c>
      <c r="E61" t="s">
        <v>17</v>
      </c>
      <c r="F61">
        <v>142</v>
      </c>
      <c r="G61">
        <v>9318</v>
      </c>
      <c r="H61" s="5">
        <f>DATE(YEAR(credit_card_account[[#This Row],[date]]),MONTH(credit_card_account[[#This Row],[date]]),1)</f>
        <v>44866</v>
      </c>
    </row>
    <row r="62" spans="1:8" x14ac:dyDescent="0.3">
      <c r="A62" s="1">
        <v>44891</v>
      </c>
      <c r="B62" t="s">
        <v>1018</v>
      </c>
      <c r="C62" t="s">
        <v>960</v>
      </c>
      <c r="D62" t="s">
        <v>964</v>
      </c>
      <c r="E62" t="s">
        <v>17</v>
      </c>
      <c r="F62">
        <v>597</v>
      </c>
      <c r="G62">
        <v>9915</v>
      </c>
      <c r="H62" s="5">
        <f>DATE(YEAR(credit_card_account[[#This Row],[date]]),MONTH(credit_card_account[[#This Row],[date]]),1)</f>
        <v>44866</v>
      </c>
    </row>
    <row r="63" spans="1:8" x14ac:dyDescent="0.3">
      <c r="A63" s="1">
        <v>44898</v>
      </c>
      <c r="B63" t="s">
        <v>1019</v>
      </c>
      <c r="C63" t="s">
        <v>949</v>
      </c>
      <c r="D63" t="s">
        <v>964</v>
      </c>
      <c r="E63" t="s">
        <v>17</v>
      </c>
      <c r="F63">
        <v>120</v>
      </c>
      <c r="G63">
        <v>10035</v>
      </c>
      <c r="H63" s="5">
        <f>DATE(YEAR(credit_card_account[[#This Row],[date]]),MONTH(credit_card_account[[#This Row],[date]]),1)</f>
        <v>44896</v>
      </c>
    </row>
    <row r="64" spans="1:8" x14ac:dyDescent="0.3">
      <c r="A64" s="1">
        <v>44900</v>
      </c>
      <c r="B64" t="s">
        <v>1020</v>
      </c>
      <c r="C64" t="s">
        <v>955</v>
      </c>
      <c r="D64" t="s">
        <v>956</v>
      </c>
      <c r="E64" t="s">
        <v>10</v>
      </c>
      <c r="F64">
        <v>316</v>
      </c>
      <c r="G64">
        <v>9719</v>
      </c>
      <c r="H64" s="5">
        <f>DATE(YEAR(credit_card_account[[#This Row],[date]]),MONTH(credit_card_account[[#This Row],[date]]),1)</f>
        <v>44896</v>
      </c>
    </row>
    <row r="65" spans="1:8" x14ac:dyDescent="0.3">
      <c r="A65" s="1">
        <v>44905</v>
      </c>
      <c r="B65" t="s">
        <v>1021</v>
      </c>
      <c r="C65" t="s">
        <v>949</v>
      </c>
      <c r="D65" t="s">
        <v>958</v>
      </c>
      <c r="E65" t="s">
        <v>17</v>
      </c>
      <c r="F65">
        <v>223</v>
      </c>
      <c r="G65">
        <v>9942</v>
      </c>
      <c r="H65" s="5">
        <f>DATE(YEAR(credit_card_account[[#This Row],[date]]),MONTH(credit_card_account[[#This Row],[date]]),1)</f>
        <v>44896</v>
      </c>
    </row>
    <row r="66" spans="1:8" x14ac:dyDescent="0.3">
      <c r="A66" s="1">
        <v>44912</v>
      </c>
      <c r="B66" t="s">
        <v>1022</v>
      </c>
      <c r="C66" t="s">
        <v>949</v>
      </c>
      <c r="D66" t="s">
        <v>953</v>
      </c>
      <c r="E66" t="s">
        <v>17</v>
      </c>
      <c r="F66">
        <v>150</v>
      </c>
      <c r="G66">
        <v>10092</v>
      </c>
      <c r="H66" s="5">
        <f>DATE(YEAR(credit_card_account[[#This Row],[date]]),MONTH(credit_card_account[[#This Row],[date]]),1)</f>
        <v>44896</v>
      </c>
    </row>
    <row r="67" spans="1:8" x14ac:dyDescent="0.3">
      <c r="A67" s="1">
        <v>44919</v>
      </c>
      <c r="B67" t="s">
        <v>1023</v>
      </c>
      <c r="C67" t="s">
        <v>949</v>
      </c>
      <c r="D67" t="s">
        <v>950</v>
      </c>
      <c r="E67" t="s">
        <v>17</v>
      </c>
      <c r="F67">
        <v>569</v>
      </c>
      <c r="G67">
        <v>10661</v>
      </c>
      <c r="H67" s="5">
        <f>DATE(YEAR(credit_card_account[[#This Row],[date]]),MONTH(credit_card_account[[#This Row],[date]]),1)</f>
        <v>44896</v>
      </c>
    </row>
    <row r="68" spans="1:8" x14ac:dyDescent="0.3">
      <c r="A68" s="1">
        <v>44921</v>
      </c>
      <c r="B68" t="s">
        <v>1024</v>
      </c>
      <c r="C68" t="s">
        <v>955</v>
      </c>
      <c r="D68" t="s">
        <v>956</v>
      </c>
      <c r="E68" t="s">
        <v>10</v>
      </c>
      <c r="F68">
        <v>572</v>
      </c>
      <c r="G68">
        <v>10089</v>
      </c>
      <c r="H68" s="5">
        <f>DATE(YEAR(credit_card_account[[#This Row],[date]]),MONTH(credit_card_account[[#This Row],[date]]),1)</f>
        <v>44896</v>
      </c>
    </row>
    <row r="69" spans="1:8" x14ac:dyDescent="0.3">
      <c r="A69" s="1">
        <v>44926</v>
      </c>
      <c r="B69" t="s">
        <v>1025</v>
      </c>
      <c r="C69" t="s">
        <v>963</v>
      </c>
      <c r="D69" t="s">
        <v>964</v>
      </c>
      <c r="E69" t="s">
        <v>17</v>
      </c>
      <c r="F69">
        <v>151</v>
      </c>
      <c r="G69">
        <v>10240</v>
      </c>
      <c r="H69" s="5">
        <f>DATE(YEAR(credit_card_account[[#This Row],[date]]),MONTH(credit_card_account[[#This Row],[date]]),1)</f>
        <v>44896</v>
      </c>
    </row>
    <row r="70" spans="1:8" x14ac:dyDescent="0.3">
      <c r="A70" s="1">
        <v>44933</v>
      </c>
      <c r="B70" t="s">
        <v>1026</v>
      </c>
      <c r="C70" t="s">
        <v>949</v>
      </c>
      <c r="D70" t="s">
        <v>953</v>
      </c>
      <c r="E70" t="s">
        <v>17</v>
      </c>
      <c r="F70">
        <v>255</v>
      </c>
      <c r="G70">
        <v>10495</v>
      </c>
      <c r="H70" s="5">
        <f>DATE(YEAR(credit_card_account[[#This Row],[date]]),MONTH(credit_card_account[[#This Row],[date]]),1)</f>
        <v>44927</v>
      </c>
    </row>
    <row r="71" spans="1:8" x14ac:dyDescent="0.3">
      <c r="A71" s="1">
        <v>44940</v>
      </c>
      <c r="B71" t="s">
        <v>1027</v>
      </c>
      <c r="C71" t="s">
        <v>963</v>
      </c>
      <c r="D71" t="s">
        <v>950</v>
      </c>
      <c r="E71" t="s">
        <v>17</v>
      </c>
      <c r="F71">
        <v>519</v>
      </c>
      <c r="G71">
        <v>11014</v>
      </c>
      <c r="H71" s="5">
        <f>DATE(YEAR(credit_card_account[[#This Row],[date]]),MONTH(credit_card_account[[#This Row],[date]]),1)</f>
        <v>44927</v>
      </c>
    </row>
    <row r="72" spans="1:8" x14ac:dyDescent="0.3">
      <c r="A72" s="1">
        <v>44947</v>
      </c>
      <c r="B72" t="s">
        <v>1028</v>
      </c>
      <c r="C72" t="s">
        <v>960</v>
      </c>
      <c r="D72" t="s">
        <v>950</v>
      </c>
      <c r="E72" t="s">
        <v>17</v>
      </c>
      <c r="F72">
        <v>176</v>
      </c>
      <c r="G72">
        <v>11190</v>
      </c>
      <c r="H72" s="5">
        <f>DATE(YEAR(credit_card_account[[#This Row],[date]]),MONTH(credit_card_account[[#This Row],[date]]),1)</f>
        <v>44927</v>
      </c>
    </row>
    <row r="73" spans="1:8" x14ac:dyDescent="0.3">
      <c r="A73" s="1">
        <v>44949</v>
      </c>
      <c r="B73" t="s">
        <v>1029</v>
      </c>
      <c r="C73" t="s">
        <v>955</v>
      </c>
      <c r="D73" t="s">
        <v>956</v>
      </c>
      <c r="E73" t="s">
        <v>10</v>
      </c>
      <c r="F73">
        <v>658</v>
      </c>
      <c r="G73">
        <v>10532</v>
      </c>
      <c r="H73" s="5">
        <f>DATE(YEAR(credit_card_account[[#This Row],[date]]),MONTH(credit_card_account[[#This Row],[date]]),1)</f>
        <v>44927</v>
      </c>
    </row>
    <row r="74" spans="1:8" x14ac:dyDescent="0.3">
      <c r="A74" s="1">
        <v>44954</v>
      </c>
      <c r="B74" t="s">
        <v>1030</v>
      </c>
      <c r="C74" t="s">
        <v>949</v>
      </c>
      <c r="D74" t="s">
        <v>953</v>
      </c>
      <c r="E74" t="s">
        <v>17</v>
      </c>
      <c r="F74">
        <v>362</v>
      </c>
      <c r="G74">
        <v>10894</v>
      </c>
      <c r="H74" s="5">
        <f>DATE(YEAR(credit_card_account[[#This Row],[date]]),MONTH(credit_card_account[[#This Row],[date]]),1)</f>
        <v>44927</v>
      </c>
    </row>
    <row r="75" spans="1:8" x14ac:dyDescent="0.3">
      <c r="A75" s="1">
        <v>44956</v>
      </c>
      <c r="B75" t="s">
        <v>1031</v>
      </c>
      <c r="C75" t="s">
        <v>955</v>
      </c>
      <c r="D75" t="s">
        <v>956</v>
      </c>
      <c r="E75" t="s">
        <v>10</v>
      </c>
      <c r="F75">
        <v>358</v>
      </c>
      <c r="G75">
        <v>10536</v>
      </c>
      <c r="H75" s="5">
        <f>DATE(YEAR(credit_card_account[[#This Row],[date]]),MONTH(credit_card_account[[#This Row],[date]]),1)</f>
        <v>44927</v>
      </c>
    </row>
    <row r="76" spans="1:8" x14ac:dyDescent="0.3">
      <c r="A76" s="1">
        <v>44961</v>
      </c>
      <c r="B76" t="s">
        <v>1032</v>
      </c>
      <c r="C76" t="s">
        <v>949</v>
      </c>
      <c r="D76" t="s">
        <v>953</v>
      </c>
      <c r="E76" t="s">
        <v>17</v>
      </c>
      <c r="F76">
        <v>170</v>
      </c>
      <c r="G76">
        <v>10706</v>
      </c>
      <c r="H76" s="5">
        <f>DATE(YEAR(credit_card_account[[#This Row],[date]]),MONTH(credit_card_account[[#This Row],[date]]),1)</f>
        <v>44958</v>
      </c>
    </row>
    <row r="77" spans="1:8" x14ac:dyDescent="0.3">
      <c r="A77" s="1">
        <v>44968</v>
      </c>
      <c r="B77" t="s">
        <v>1033</v>
      </c>
      <c r="C77" t="s">
        <v>963</v>
      </c>
      <c r="D77" t="s">
        <v>953</v>
      </c>
      <c r="E77" t="s">
        <v>17</v>
      </c>
      <c r="F77">
        <v>544</v>
      </c>
      <c r="G77">
        <v>11250</v>
      </c>
      <c r="H77" s="5">
        <f>DATE(YEAR(credit_card_account[[#This Row],[date]]),MONTH(credit_card_account[[#This Row],[date]]),1)</f>
        <v>44958</v>
      </c>
    </row>
    <row r="78" spans="1:8" x14ac:dyDescent="0.3">
      <c r="A78" s="1">
        <v>44975</v>
      </c>
      <c r="B78" t="s">
        <v>1034</v>
      </c>
      <c r="C78" t="s">
        <v>963</v>
      </c>
      <c r="D78" t="s">
        <v>964</v>
      </c>
      <c r="E78" t="s">
        <v>17</v>
      </c>
      <c r="F78">
        <v>551</v>
      </c>
      <c r="G78">
        <v>11801</v>
      </c>
      <c r="H78" s="5">
        <f>DATE(YEAR(credit_card_account[[#This Row],[date]]),MONTH(credit_card_account[[#This Row],[date]]),1)</f>
        <v>44958</v>
      </c>
    </row>
    <row r="79" spans="1:8" x14ac:dyDescent="0.3">
      <c r="A79" s="1">
        <v>44982</v>
      </c>
      <c r="B79" t="s">
        <v>1035</v>
      </c>
      <c r="C79" t="s">
        <v>960</v>
      </c>
      <c r="D79" t="s">
        <v>958</v>
      </c>
      <c r="E79" t="s">
        <v>17</v>
      </c>
      <c r="F79">
        <v>271</v>
      </c>
      <c r="G79">
        <v>12072</v>
      </c>
      <c r="H79" s="5">
        <f>DATE(YEAR(credit_card_account[[#This Row],[date]]),MONTH(credit_card_account[[#This Row],[date]]),1)</f>
        <v>44958</v>
      </c>
    </row>
    <row r="80" spans="1:8" x14ac:dyDescent="0.3">
      <c r="A80" s="1">
        <v>44989</v>
      </c>
      <c r="B80" t="s">
        <v>1036</v>
      </c>
      <c r="C80" t="s">
        <v>952</v>
      </c>
      <c r="D80" t="s">
        <v>964</v>
      </c>
      <c r="E80" t="s">
        <v>17</v>
      </c>
      <c r="F80">
        <v>478</v>
      </c>
      <c r="G80">
        <v>12550</v>
      </c>
      <c r="H80" s="5">
        <f>DATE(YEAR(credit_card_account[[#This Row],[date]]),MONTH(credit_card_account[[#This Row],[date]]),1)</f>
        <v>44986</v>
      </c>
    </row>
    <row r="81" spans="1:8" x14ac:dyDescent="0.3">
      <c r="A81" s="1">
        <v>44996</v>
      </c>
      <c r="B81" t="s">
        <v>1037</v>
      </c>
      <c r="C81" t="s">
        <v>963</v>
      </c>
      <c r="D81" t="s">
        <v>953</v>
      </c>
      <c r="E81" t="s">
        <v>17</v>
      </c>
      <c r="F81">
        <v>376</v>
      </c>
      <c r="G81">
        <v>12926</v>
      </c>
      <c r="H81" s="5">
        <f>DATE(YEAR(credit_card_account[[#This Row],[date]]),MONTH(credit_card_account[[#This Row],[date]]),1)</f>
        <v>44986</v>
      </c>
    </row>
    <row r="82" spans="1:8" x14ac:dyDescent="0.3">
      <c r="A82" s="1">
        <v>44998</v>
      </c>
      <c r="B82" t="s">
        <v>1038</v>
      </c>
      <c r="C82" t="s">
        <v>955</v>
      </c>
      <c r="D82" t="s">
        <v>956</v>
      </c>
      <c r="E82" t="s">
        <v>10</v>
      </c>
      <c r="F82">
        <v>720</v>
      </c>
      <c r="G82">
        <v>12206</v>
      </c>
      <c r="H82" s="5">
        <f>DATE(YEAR(credit_card_account[[#This Row],[date]]),MONTH(credit_card_account[[#This Row],[date]]),1)</f>
        <v>44986</v>
      </c>
    </row>
    <row r="83" spans="1:8" x14ac:dyDescent="0.3">
      <c r="A83" s="1">
        <v>45003</v>
      </c>
      <c r="B83" t="s">
        <v>1039</v>
      </c>
      <c r="C83" t="s">
        <v>963</v>
      </c>
      <c r="D83" t="s">
        <v>953</v>
      </c>
      <c r="E83" t="s">
        <v>17</v>
      </c>
      <c r="F83">
        <v>370</v>
      </c>
      <c r="G83">
        <v>12576</v>
      </c>
      <c r="H83" s="5">
        <f>DATE(YEAR(credit_card_account[[#This Row],[date]]),MONTH(credit_card_account[[#This Row],[date]]),1)</f>
        <v>44986</v>
      </c>
    </row>
    <row r="84" spans="1:8" x14ac:dyDescent="0.3">
      <c r="A84" s="1">
        <v>45010</v>
      </c>
      <c r="B84" t="s">
        <v>1040</v>
      </c>
      <c r="C84" t="s">
        <v>963</v>
      </c>
      <c r="D84" t="s">
        <v>953</v>
      </c>
      <c r="E84" t="s">
        <v>17</v>
      </c>
      <c r="F84">
        <v>224</v>
      </c>
      <c r="G84">
        <v>12800</v>
      </c>
      <c r="H84" s="5">
        <f>DATE(YEAR(credit_card_account[[#This Row],[date]]),MONTH(credit_card_account[[#This Row],[date]]),1)</f>
        <v>44986</v>
      </c>
    </row>
    <row r="85" spans="1:8" x14ac:dyDescent="0.3">
      <c r="A85" s="1">
        <v>45017</v>
      </c>
      <c r="B85" t="s">
        <v>1041</v>
      </c>
      <c r="C85" t="s">
        <v>963</v>
      </c>
      <c r="D85" t="s">
        <v>964</v>
      </c>
      <c r="E85" t="s">
        <v>17</v>
      </c>
      <c r="F85">
        <v>148</v>
      </c>
      <c r="G85">
        <v>12948</v>
      </c>
      <c r="H85" s="5">
        <f>DATE(YEAR(credit_card_account[[#This Row],[date]]),MONTH(credit_card_account[[#This Row],[date]]),1)</f>
        <v>45017</v>
      </c>
    </row>
    <row r="86" spans="1:8" x14ac:dyDescent="0.3">
      <c r="A86" s="1">
        <v>45024</v>
      </c>
      <c r="B86" t="s">
        <v>1042</v>
      </c>
      <c r="C86" t="s">
        <v>960</v>
      </c>
      <c r="D86" t="s">
        <v>964</v>
      </c>
      <c r="E86" t="s">
        <v>17</v>
      </c>
      <c r="F86">
        <v>149</v>
      </c>
      <c r="G86">
        <v>13097</v>
      </c>
      <c r="H86" s="5">
        <f>DATE(YEAR(credit_card_account[[#This Row],[date]]),MONTH(credit_card_account[[#This Row],[date]]),1)</f>
        <v>45017</v>
      </c>
    </row>
    <row r="87" spans="1:8" x14ac:dyDescent="0.3">
      <c r="A87" s="1">
        <v>45031</v>
      </c>
      <c r="B87" t="s">
        <v>1043</v>
      </c>
      <c r="C87" t="s">
        <v>963</v>
      </c>
      <c r="D87" t="s">
        <v>958</v>
      </c>
      <c r="E87" t="s">
        <v>17</v>
      </c>
      <c r="F87">
        <v>266</v>
      </c>
      <c r="G87">
        <v>13363</v>
      </c>
      <c r="H87" s="5">
        <f>DATE(YEAR(credit_card_account[[#This Row],[date]]),MONTH(credit_card_account[[#This Row],[date]]),1)</f>
        <v>45017</v>
      </c>
    </row>
    <row r="88" spans="1:8" x14ac:dyDescent="0.3">
      <c r="A88" s="1">
        <v>45033</v>
      </c>
      <c r="B88" t="s">
        <v>1044</v>
      </c>
      <c r="C88" t="s">
        <v>955</v>
      </c>
      <c r="D88" t="s">
        <v>956</v>
      </c>
      <c r="E88" t="s">
        <v>10</v>
      </c>
      <c r="F88">
        <v>638</v>
      </c>
      <c r="G88">
        <v>12725</v>
      </c>
      <c r="H88" s="5">
        <f>DATE(YEAR(credit_card_account[[#This Row],[date]]),MONTH(credit_card_account[[#This Row],[date]]),1)</f>
        <v>45017</v>
      </c>
    </row>
    <row r="89" spans="1:8" x14ac:dyDescent="0.3">
      <c r="A89" s="1">
        <v>45038</v>
      </c>
      <c r="B89" t="s">
        <v>1045</v>
      </c>
      <c r="C89" t="s">
        <v>952</v>
      </c>
      <c r="D89" t="s">
        <v>964</v>
      </c>
      <c r="E89" t="s">
        <v>17</v>
      </c>
      <c r="F89">
        <v>341</v>
      </c>
      <c r="G89">
        <v>13066</v>
      </c>
      <c r="H89" s="5">
        <f>DATE(YEAR(credit_card_account[[#This Row],[date]]),MONTH(credit_card_account[[#This Row],[date]]),1)</f>
        <v>45017</v>
      </c>
    </row>
    <row r="90" spans="1:8" x14ac:dyDescent="0.3">
      <c r="A90" s="1">
        <v>45040</v>
      </c>
      <c r="B90" t="s">
        <v>1046</v>
      </c>
      <c r="C90" t="s">
        <v>955</v>
      </c>
      <c r="D90" t="s">
        <v>956</v>
      </c>
      <c r="E90" t="s">
        <v>10</v>
      </c>
      <c r="F90">
        <v>307</v>
      </c>
      <c r="G90">
        <v>12759</v>
      </c>
      <c r="H90" s="5">
        <f>DATE(YEAR(credit_card_account[[#This Row],[date]]),MONTH(credit_card_account[[#This Row],[date]]),1)</f>
        <v>45017</v>
      </c>
    </row>
    <row r="91" spans="1:8" x14ac:dyDescent="0.3">
      <c r="A91" s="1">
        <v>45045</v>
      </c>
      <c r="B91" t="s">
        <v>1047</v>
      </c>
      <c r="C91" t="s">
        <v>952</v>
      </c>
      <c r="D91" t="s">
        <v>964</v>
      </c>
      <c r="E91" t="s">
        <v>17</v>
      </c>
      <c r="F91">
        <v>325</v>
      </c>
      <c r="G91">
        <v>13084</v>
      </c>
      <c r="H91" s="5">
        <f>DATE(YEAR(credit_card_account[[#This Row],[date]]),MONTH(credit_card_account[[#This Row],[date]]),1)</f>
        <v>45017</v>
      </c>
    </row>
    <row r="92" spans="1:8" x14ac:dyDescent="0.3">
      <c r="A92" s="1">
        <v>45052</v>
      </c>
      <c r="B92" t="s">
        <v>1048</v>
      </c>
      <c r="C92" t="s">
        <v>960</v>
      </c>
      <c r="D92" t="s">
        <v>958</v>
      </c>
      <c r="E92" t="s">
        <v>17</v>
      </c>
      <c r="F92">
        <v>249</v>
      </c>
      <c r="G92">
        <v>13333</v>
      </c>
      <c r="H92" s="5">
        <f>DATE(YEAR(credit_card_account[[#This Row],[date]]),MONTH(credit_card_account[[#This Row],[date]]),1)</f>
        <v>45047</v>
      </c>
    </row>
    <row r="93" spans="1:8" x14ac:dyDescent="0.3">
      <c r="A93" s="1">
        <v>45059</v>
      </c>
      <c r="B93" t="s">
        <v>1049</v>
      </c>
      <c r="C93" t="s">
        <v>949</v>
      </c>
      <c r="D93" t="s">
        <v>953</v>
      </c>
      <c r="E93" t="s">
        <v>17</v>
      </c>
      <c r="F93">
        <v>575</v>
      </c>
      <c r="G93">
        <v>13908</v>
      </c>
      <c r="H93" s="5">
        <f>DATE(YEAR(credit_card_account[[#This Row],[date]]),MONTH(credit_card_account[[#This Row],[date]]),1)</f>
        <v>45047</v>
      </c>
    </row>
    <row r="94" spans="1:8" x14ac:dyDescent="0.3">
      <c r="A94" s="1">
        <v>45066</v>
      </c>
      <c r="B94" t="s">
        <v>1050</v>
      </c>
      <c r="C94" t="s">
        <v>963</v>
      </c>
      <c r="D94" t="s">
        <v>958</v>
      </c>
      <c r="E94" t="s">
        <v>17</v>
      </c>
      <c r="F94">
        <v>556</v>
      </c>
      <c r="G94">
        <v>14464</v>
      </c>
      <c r="H94" s="5">
        <f>DATE(YEAR(credit_card_account[[#This Row],[date]]),MONTH(credit_card_account[[#This Row],[date]]),1)</f>
        <v>45047</v>
      </c>
    </row>
    <row r="95" spans="1:8" x14ac:dyDescent="0.3">
      <c r="A95" s="1">
        <v>45073</v>
      </c>
      <c r="B95" t="s">
        <v>1051</v>
      </c>
      <c r="C95" t="s">
        <v>952</v>
      </c>
      <c r="D95" t="s">
        <v>950</v>
      </c>
      <c r="E95" t="s">
        <v>17</v>
      </c>
      <c r="F95">
        <v>353</v>
      </c>
      <c r="G95">
        <v>14817</v>
      </c>
      <c r="H95" s="5">
        <f>DATE(YEAR(credit_card_account[[#This Row],[date]]),MONTH(credit_card_account[[#This Row],[date]]),1)</f>
        <v>45047</v>
      </c>
    </row>
    <row r="96" spans="1:8" x14ac:dyDescent="0.3">
      <c r="A96" s="1">
        <v>45075</v>
      </c>
      <c r="B96" t="s">
        <v>1052</v>
      </c>
      <c r="C96" t="s">
        <v>955</v>
      </c>
      <c r="D96" t="s">
        <v>956</v>
      </c>
      <c r="E96" t="s">
        <v>10</v>
      </c>
      <c r="F96">
        <v>462</v>
      </c>
      <c r="G96">
        <v>14355</v>
      </c>
      <c r="H96" s="5">
        <f>DATE(YEAR(credit_card_account[[#This Row],[date]]),MONTH(credit_card_account[[#This Row],[date]]),1)</f>
        <v>45047</v>
      </c>
    </row>
    <row r="97" spans="1:8" x14ac:dyDescent="0.3">
      <c r="A97" s="1">
        <v>45080</v>
      </c>
      <c r="B97" t="s">
        <v>1053</v>
      </c>
      <c r="C97" t="s">
        <v>963</v>
      </c>
      <c r="D97" t="s">
        <v>964</v>
      </c>
      <c r="E97" t="s">
        <v>17</v>
      </c>
      <c r="F97">
        <v>184</v>
      </c>
      <c r="G97">
        <v>14539</v>
      </c>
      <c r="H97" s="5">
        <f>DATE(YEAR(credit_card_account[[#This Row],[date]]),MONTH(credit_card_account[[#This Row],[date]]),1)</f>
        <v>45078</v>
      </c>
    </row>
    <row r="98" spans="1:8" x14ac:dyDescent="0.3">
      <c r="A98" s="1">
        <v>45087</v>
      </c>
      <c r="B98" t="s">
        <v>1054</v>
      </c>
      <c r="C98" t="s">
        <v>949</v>
      </c>
      <c r="D98" t="s">
        <v>958</v>
      </c>
      <c r="E98" t="s">
        <v>17</v>
      </c>
      <c r="F98">
        <v>224</v>
      </c>
      <c r="G98">
        <v>14763</v>
      </c>
      <c r="H98" s="5">
        <f>DATE(YEAR(credit_card_account[[#This Row],[date]]),MONTH(credit_card_account[[#This Row],[date]]),1)</f>
        <v>45078</v>
      </c>
    </row>
    <row r="99" spans="1:8" x14ac:dyDescent="0.3">
      <c r="A99" s="1">
        <v>45094</v>
      </c>
      <c r="B99" t="s">
        <v>1055</v>
      </c>
      <c r="C99" t="s">
        <v>960</v>
      </c>
      <c r="D99" t="s">
        <v>953</v>
      </c>
      <c r="E99" t="s">
        <v>17</v>
      </c>
      <c r="F99">
        <v>586</v>
      </c>
      <c r="G99">
        <v>15349</v>
      </c>
      <c r="H99" s="5">
        <f>DATE(YEAR(credit_card_account[[#This Row],[date]]),MONTH(credit_card_account[[#This Row],[date]]),1)</f>
        <v>45078</v>
      </c>
    </row>
    <row r="100" spans="1:8" x14ac:dyDescent="0.3">
      <c r="A100" s="1">
        <v>45101</v>
      </c>
      <c r="B100" t="s">
        <v>1056</v>
      </c>
      <c r="C100" t="s">
        <v>963</v>
      </c>
      <c r="D100" t="s">
        <v>950</v>
      </c>
      <c r="E100" t="s">
        <v>17</v>
      </c>
      <c r="F100">
        <v>167</v>
      </c>
      <c r="G100">
        <v>15516</v>
      </c>
      <c r="H100" s="5">
        <f>DATE(YEAR(credit_card_account[[#This Row],[date]]),MONTH(credit_card_account[[#This Row],[date]]),1)</f>
        <v>45078</v>
      </c>
    </row>
    <row r="101" spans="1:8" x14ac:dyDescent="0.3">
      <c r="A101" s="1">
        <v>45108</v>
      </c>
      <c r="B101" t="s">
        <v>1057</v>
      </c>
      <c r="C101" t="s">
        <v>952</v>
      </c>
      <c r="D101" t="s">
        <v>950</v>
      </c>
      <c r="E101" t="s">
        <v>17</v>
      </c>
      <c r="F101">
        <v>266</v>
      </c>
      <c r="G101">
        <v>15782</v>
      </c>
      <c r="H101" s="5">
        <f>DATE(YEAR(credit_card_account[[#This Row],[date]]),MONTH(credit_card_account[[#This Row],[date]]),1)</f>
        <v>45108</v>
      </c>
    </row>
    <row r="102" spans="1:8" x14ac:dyDescent="0.3">
      <c r="A102" s="1">
        <v>45110</v>
      </c>
      <c r="B102" t="s">
        <v>1058</v>
      </c>
      <c r="C102" t="s">
        <v>955</v>
      </c>
      <c r="D102" t="s">
        <v>956</v>
      </c>
      <c r="E102" t="s">
        <v>10</v>
      </c>
      <c r="F102">
        <v>552</v>
      </c>
      <c r="G102">
        <v>15230</v>
      </c>
      <c r="H102" s="5">
        <f>DATE(YEAR(credit_card_account[[#This Row],[date]]),MONTH(credit_card_account[[#This Row],[date]]),1)</f>
        <v>45108</v>
      </c>
    </row>
    <row r="103" spans="1:8" x14ac:dyDescent="0.3">
      <c r="A103" s="1">
        <v>45115</v>
      </c>
      <c r="B103" t="s">
        <v>1059</v>
      </c>
      <c r="C103" t="s">
        <v>949</v>
      </c>
      <c r="D103" t="s">
        <v>958</v>
      </c>
      <c r="E103" t="s">
        <v>17</v>
      </c>
      <c r="F103">
        <v>263</v>
      </c>
      <c r="G103">
        <v>15493</v>
      </c>
      <c r="H103" s="5">
        <f>DATE(YEAR(credit_card_account[[#This Row],[date]]),MONTH(credit_card_account[[#This Row],[date]]),1)</f>
        <v>45108</v>
      </c>
    </row>
    <row r="104" spans="1:8" x14ac:dyDescent="0.3">
      <c r="A104" s="1">
        <v>45122</v>
      </c>
      <c r="B104" t="s">
        <v>1060</v>
      </c>
      <c r="C104" t="s">
        <v>963</v>
      </c>
      <c r="D104" t="s">
        <v>958</v>
      </c>
      <c r="E104" t="s">
        <v>17</v>
      </c>
      <c r="F104">
        <v>478</v>
      </c>
      <c r="G104">
        <v>15971</v>
      </c>
      <c r="H104" s="5">
        <f>DATE(YEAR(credit_card_account[[#This Row],[date]]),MONTH(credit_card_account[[#This Row],[date]]),1)</f>
        <v>45108</v>
      </c>
    </row>
    <row r="105" spans="1:8" x14ac:dyDescent="0.3">
      <c r="A105" s="1">
        <v>45129</v>
      </c>
      <c r="B105" t="s">
        <v>1061</v>
      </c>
      <c r="C105" t="s">
        <v>952</v>
      </c>
      <c r="D105" t="s">
        <v>953</v>
      </c>
      <c r="E105" t="s">
        <v>17</v>
      </c>
      <c r="F105">
        <v>368</v>
      </c>
      <c r="G105">
        <v>16339</v>
      </c>
      <c r="H105" s="5">
        <f>DATE(YEAR(credit_card_account[[#This Row],[date]]),MONTH(credit_card_account[[#This Row],[date]]),1)</f>
        <v>45108</v>
      </c>
    </row>
    <row r="106" spans="1:8" x14ac:dyDescent="0.3">
      <c r="A106" s="1">
        <v>45131</v>
      </c>
      <c r="B106" t="s">
        <v>1062</v>
      </c>
      <c r="C106" t="s">
        <v>955</v>
      </c>
      <c r="D106" t="s">
        <v>956</v>
      </c>
      <c r="E106" t="s">
        <v>10</v>
      </c>
      <c r="F106">
        <v>716</v>
      </c>
      <c r="G106">
        <v>15623</v>
      </c>
      <c r="H106" s="5">
        <f>DATE(YEAR(credit_card_account[[#This Row],[date]]),MONTH(credit_card_account[[#This Row],[date]]),1)</f>
        <v>45108</v>
      </c>
    </row>
    <row r="107" spans="1:8" x14ac:dyDescent="0.3">
      <c r="A107" s="1">
        <v>45136</v>
      </c>
      <c r="B107" t="s">
        <v>1063</v>
      </c>
      <c r="C107" t="s">
        <v>949</v>
      </c>
      <c r="D107" t="s">
        <v>953</v>
      </c>
      <c r="E107" t="s">
        <v>17</v>
      </c>
      <c r="F107">
        <v>527</v>
      </c>
      <c r="G107">
        <v>16150</v>
      </c>
      <c r="H107" s="5">
        <f>DATE(YEAR(credit_card_account[[#This Row],[date]]),MONTH(credit_card_account[[#This Row],[date]]),1)</f>
        <v>45108</v>
      </c>
    </row>
    <row r="108" spans="1:8" x14ac:dyDescent="0.3">
      <c r="A108" s="1">
        <v>45143</v>
      </c>
      <c r="B108" t="s">
        <v>1064</v>
      </c>
      <c r="C108" t="s">
        <v>960</v>
      </c>
      <c r="D108" t="s">
        <v>950</v>
      </c>
      <c r="E108" t="s">
        <v>17</v>
      </c>
      <c r="F108">
        <v>329</v>
      </c>
      <c r="G108">
        <v>16479</v>
      </c>
      <c r="H108" s="5">
        <f>DATE(YEAR(credit_card_account[[#This Row],[date]]),MONTH(credit_card_account[[#This Row],[date]]),1)</f>
        <v>45139</v>
      </c>
    </row>
    <row r="109" spans="1:8" x14ac:dyDescent="0.3">
      <c r="A109" s="1">
        <v>45150</v>
      </c>
      <c r="B109" t="s">
        <v>1065</v>
      </c>
      <c r="C109" t="s">
        <v>952</v>
      </c>
      <c r="D109" t="s">
        <v>950</v>
      </c>
      <c r="E109" t="s">
        <v>17</v>
      </c>
      <c r="F109">
        <v>399</v>
      </c>
      <c r="G109">
        <v>16878</v>
      </c>
      <c r="H109" s="5">
        <f>DATE(YEAR(credit_card_account[[#This Row],[date]]),MONTH(credit_card_account[[#This Row],[date]]),1)</f>
        <v>45139</v>
      </c>
    </row>
    <row r="110" spans="1:8" x14ac:dyDescent="0.3">
      <c r="A110" s="1">
        <v>45157</v>
      </c>
      <c r="B110" t="s">
        <v>1066</v>
      </c>
      <c r="C110" t="s">
        <v>963</v>
      </c>
      <c r="D110" t="s">
        <v>964</v>
      </c>
      <c r="E110" t="s">
        <v>17</v>
      </c>
      <c r="F110">
        <v>425</v>
      </c>
      <c r="G110">
        <v>17303</v>
      </c>
      <c r="H110" s="5">
        <f>DATE(YEAR(credit_card_account[[#This Row],[date]]),MONTH(credit_card_account[[#This Row],[date]]),1)</f>
        <v>45139</v>
      </c>
    </row>
    <row r="111" spans="1:8" x14ac:dyDescent="0.3">
      <c r="A111" s="1">
        <v>45164</v>
      </c>
      <c r="B111" t="s">
        <v>1067</v>
      </c>
      <c r="C111" t="s">
        <v>952</v>
      </c>
      <c r="D111" t="s">
        <v>964</v>
      </c>
      <c r="E111" t="s">
        <v>17</v>
      </c>
      <c r="F111">
        <v>201</v>
      </c>
      <c r="G111">
        <v>17504</v>
      </c>
      <c r="H111" s="5">
        <f>DATE(YEAR(credit_card_account[[#This Row],[date]]),MONTH(credit_card_account[[#This Row],[date]]),1)</f>
        <v>45139</v>
      </c>
    </row>
    <row r="112" spans="1:8" x14ac:dyDescent="0.3">
      <c r="A112" s="1">
        <v>45171</v>
      </c>
      <c r="B112" t="s">
        <v>1068</v>
      </c>
      <c r="C112" t="s">
        <v>960</v>
      </c>
      <c r="D112" t="s">
        <v>953</v>
      </c>
      <c r="E112" t="s">
        <v>17</v>
      </c>
      <c r="F112">
        <v>385</v>
      </c>
      <c r="G112">
        <v>17889</v>
      </c>
      <c r="H112" s="5">
        <f>DATE(YEAR(credit_card_account[[#This Row],[date]]),MONTH(credit_card_account[[#This Row],[date]]),1)</f>
        <v>45170</v>
      </c>
    </row>
    <row r="113" spans="1:8" x14ac:dyDescent="0.3">
      <c r="A113" s="1">
        <v>45178</v>
      </c>
      <c r="B113" t="s">
        <v>1069</v>
      </c>
      <c r="C113" t="s">
        <v>960</v>
      </c>
      <c r="D113" t="s">
        <v>958</v>
      </c>
      <c r="E113" t="s">
        <v>17</v>
      </c>
      <c r="F113">
        <v>541</v>
      </c>
      <c r="G113">
        <v>18430</v>
      </c>
      <c r="H113" s="5">
        <f>DATE(YEAR(credit_card_account[[#This Row],[date]]),MONTH(credit_card_account[[#This Row],[date]]),1)</f>
        <v>45170</v>
      </c>
    </row>
    <row r="114" spans="1:8" x14ac:dyDescent="0.3">
      <c r="A114" s="1">
        <v>45180</v>
      </c>
      <c r="B114" t="s">
        <v>1070</v>
      </c>
      <c r="C114" t="s">
        <v>955</v>
      </c>
      <c r="D114" t="s">
        <v>956</v>
      </c>
      <c r="E114" t="s">
        <v>10</v>
      </c>
      <c r="F114">
        <v>486</v>
      </c>
      <c r="G114">
        <v>17944</v>
      </c>
      <c r="H114" s="5">
        <f>DATE(YEAR(credit_card_account[[#This Row],[date]]),MONTH(credit_card_account[[#This Row],[date]]),1)</f>
        <v>45170</v>
      </c>
    </row>
    <row r="115" spans="1:8" x14ac:dyDescent="0.3">
      <c r="A115" s="1">
        <v>45185</v>
      </c>
      <c r="B115" t="s">
        <v>1071</v>
      </c>
      <c r="C115" t="s">
        <v>952</v>
      </c>
      <c r="D115" t="s">
        <v>964</v>
      </c>
      <c r="E115" t="s">
        <v>17</v>
      </c>
      <c r="F115">
        <v>402</v>
      </c>
      <c r="G115">
        <v>18346</v>
      </c>
      <c r="H115" s="5">
        <f>DATE(YEAR(credit_card_account[[#This Row],[date]]),MONTH(credit_card_account[[#This Row],[date]]),1)</f>
        <v>45170</v>
      </c>
    </row>
    <row r="116" spans="1:8" x14ac:dyDescent="0.3">
      <c r="A116" s="1">
        <v>45192</v>
      </c>
      <c r="B116" t="s">
        <v>1072</v>
      </c>
      <c r="C116" t="s">
        <v>963</v>
      </c>
      <c r="D116" t="s">
        <v>958</v>
      </c>
      <c r="E116" t="s">
        <v>17</v>
      </c>
      <c r="F116">
        <v>545</v>
      </c>
      <c r="G116">
        <v>18891</v>
      </c>
      <c r="H116" s="5">
        <f>DATE(YEAR(credit_card_account[[#This Row],[date]]),MONTH(credit_card_account[[#This Row],[date]]),1)</f>
        <v>45170</v>
      </c>
    </row>
    <row r="117" spans="1:8" x14ac:dyDescent="0.3">
      <c r="A117" s="1">
        <v>45199</v>
      </c>
      <c r="B117" t="s">
        <v>1073</v>
      </c>
      <c r="C117" t="s">
        <v>952</v>
      </c>
      <c r="D117" t="s">
        <v>953</v>
      </c>
      <c r="E117" t="s">
        <v>17</v>
      </c>
      <c r="F117">
        <v>111</v>
      </c>
      <c r="G117">
        <v>19002</v>
      </c>
      <c r="H117" s="5">
        <f>DATE(YEAR(credit_card_account[[#This Row],[date]]),MONTH(credit_card_account[[#This Row],[date]]),1)</f>
        <v>45170</v>
      </c>
    </row>
    <row r="118" spans="1:8" x14ac:dyDescent="0.3">
      <c r="A118" s="1">
        <v>45206</v>
      </c>
      <c r="B118" t="s">
        <v>1074</v>
      </c>
      <c r="C118" t="s">
        <v>949</v>
      </c>
      <c r="D118" t="s">
        <v>953</v>
      </c>
      <c r="E118" t="s">
        <v>17</v>
      </c>
      <c r="F118">
        <v>567</v>
      </c>
      <c r="G118">
        <v>19569</v>
      </c>
      <c r="H118" s="5">
        <f>DATE(YEAR(credit_card_account[[#This Row],[date]]),MONTH(credit_card_account[[#This Row],[date]]),1)</f>
        <v>45200</v>
      </c>
    </row>
    <row r="119" spans="1:8" x14ac:dyDescent="0.3">
      <c r="A119" s="1">
        <v>45213</v>
      </c>
      <c r="B119" t="s">
        <v>1075</v>
      </c>
      <c r="C119" t="s">
        <v>960</v>
      </c>
      <c r="D119" t="s">
        <v>964</v>
      </c>
      <c r="E119" t="s">
        <v>17</v>
      </c>
      <c r="F119">
        <v>378</v>
      </c>
      <c r="G119">
        <v>19947</v>
      </c>
      <c r="H119" s="5">
        <f>DATE(YEAR(credit_card_account[[#This Row],[date]]),MONTH(credit_card_account[[#This Row],[date]]),1)</f>
        <v>45200</v>
      </c>
    </row>
    <row r="120" spans="1:8" x14ac:dyDescent="0.3">
      <c r="A120" s="1">
        <v>45215</v>
      </c>
      <c r="B120" t="s">
        <v>1076</v>
      </c>
      <c r="C120" t="s">
        <v>955</v>
      </c>
      <c r="D120" t="s">
        <v>956</v>
      </c>
      <c r="E120" t="s">
        <v>10</v>
      </c>
      <c r="F120">
        <v>716</v>
      </c>
      <c r="G120">
        <v>19231</v>
      </c>
      <c r="H120" s="5">
        <f>DATE(YEAR(credit_card_account[[#This Row],[date]]),MONTH(credit_card_account[[#This Row],[date]]),1)</f>
        <v>45200</v>
      </c>
    </row>
    <row r="121" spans="1:8" x14ac:dyDescent="0.3">
      <c r="A121" s="1">
        <v>45220</v>
      </c>
      <c r="B121" t="s">
        <v>1077</v>
      </c>
      <c r="C121" t="s">
        <v>960</v>
      </c>
      <c r="D121" t="s">
        <v>953</v>
      </c>
      <c r="E121" t="s">
        <v>17</v>
      </c>
      <c r="F121">
        <v>567</v>
      </c>
      <c r="G121">
        <v>19798</v>
      </c>
      <c r="H121" s="5">
        <f>DATE(YEAR(credit_card_account[[#This Row],[date]]),MONTH(credit_card_account[[#This Row],[date]]),1)</f>
        <v>45200</v>
      </c>
    </row>
    <row r="122" spans="1:8" x14ac:dyDescent="0.3">
      <c r="A122" s="1">
        <v>45227</v>
      </c>
      <c r="B122" t="s">
        <v>1078</v>
      </c>
      <c r="C122" t="s">
        <v>963</v>
      </c>
      <c r="D122" t="s">
        <v>958</v>
      </c>
      <c r="E122" t="s">
        <v>17</v>
      </c>
      <c r="F122">
        <v>220</v>
      </c>
      <c r="G122">
        <v>20018</v>
      </c>
      <c r="H122" s="5">
        <f>DATE(YEAR(credit_card_account[[#This Row],[date]]),MONTH(credit_card_account[[#This Row],[date]]),1)</f>
        <v>45200</v>
      </c>
    </row>
    <row r="123" spans="1:8" x14ac:dyDescent="0.3">
      <c r="A123" s="1">
        <v>45229</v>
      </c>
      <c r="B123" t="s">
        <v>1079</v>
      </c>
      <c r="C123" t="s">
        <v>955</v>
      </c>
      <c r="D123" t="s">
        <v>956</v>
      </c>
      <c r="E123" t="s">
        <v>10</v>
      </c>
      <c r="F123">
        <v>605</v>
      </c>
      <c r="G123">
        <v>19413</v>
      </c>
      <c r="H123" s="5">
        <f>DATE(YEAR(credit_card_account[[#This Row],[date]]),MONTH(credit_card_account[[#This Row],[date]]),1)</f>
        <v>45200</v>
      </c>
    </row>
    <row r="124" spans="1:8" x14ac:dyDescent="0.3">
      <c r="A124" s="1">
        <v>45234</v>
      </c>
      <c r="B124" t="s">
        <v>1080</v>
      </c>
      <c r="C124" t="s">
        <v>960</v>
      </c>
      <c r="D124" t="s">
        <v>964</v>
      </c>
      <c r="E124" t="s">
        <v>17</v>
      </c>
      <c r="F124">
        <v>565</v>
      </c>
      <c r="G124">
        <v>19978</v>
      </c>
      <c r="H124" s="5">
        <f>DATE(YEAR(credit_card_account[[#This Row],[date]]),MONTH(credit_card_account[[#This Row],[date]]),1)</f>
        <v>45231</v>
      </c>
    </row>
    <row r="125" spans="1:8" x14ac:dyDescent="0.3">
      <c r="A125" s="1">
        <v>45241</v>
      </c>
      <c r="B125" t="s">
        <v>1081</v>
      </c>
      <c r="C125" t="s">
        <v>960</v>
      </c>
      <c r="D125" t="s">
        <v>950</v>
      </c>
      <c r="E125" t="s">
        <v>17</v>
      </c>
      <c r="F125">
        <v>371</v>
      </c>
      <c r="G125">
        <v>20349</v>
      </c>
      <c r="H125" s="5">
        <f>DATE(YEAR(credit_card_account[[#This Row],[date]]),MONTH(credit_card_account[[#This Row],[date]]),1)</f>
        <v>45231</v>
      </c>
    </row>
    <row r="126" spans="1:8" x14ac:dyDescent="0.3">
      <c r="A126" s="1">
        <v>45243</v>
      </c>
      <c r="B126" t="s">
        <v>1082</v>
      </c>
      <c r="C126" t="s">
        <v>955</v>
      </c>
      <c r="D126" t="s">
        <v>956</v>
      </c>
      <c r="E126" t="s">
        <v>10</v>
      </c>
      <c r="F126">
        <v>708</v>
      </c>
      <c r="G126">
        <v>19641</v>
      </c>
      <c r="H126" s="5">
        <f>DATE(YEAR(credit_card_account[[#This Row],[date]]),MONTH(credit_card_account[[#This Row],[date]]),1)</f>
        <v>45231</v>
      </c>
    </row>
    <row r="127" spans="1:8" x14ac:dyDescent="0.3">
      <c r="A127" s="1">
        <v>45248</v>
      </c>
      <c r="B127" t="s">
        <v>1083</v>
      </c>
      <c r="C127" t="s">
        <v>960</v>
      </c>
      <c r="D127" t="s">
        <v>958</v>
      </c>
      <c r="E127" t="s">
        <v>17</v>
      </c>
      <c r="F127">
        <v>241</v>
      </c>
      <c r="G127">
        <v>19882</v>
      </c>
      <c r="H127" s="5">
        <f>DATE(YEAR(credit_card_account[[#This Row],[date]]),MONTH(credit_card_account[[#This Row],[date]]),1)</f>
        <v>45231</v>
      </c>
    </row>
    <row r="128" spans="1:8" x14ac:dyDescent="0.3">
      <c r="A128" s="1">
        <v>45250</v>
      </c>
      <c r="B128" t="s">
        <v>1084</v>
      </c>
      <c r="C128" t="s">
        <v>955</v>
      </c>
      <c r="D128" t="s">
        <v>956</v>
      </c>
      <c r="E128" t="s">
        <v>10</v>
      </c>
      <c r="F128">
        <v>777</v>
      </c>
      <c r="G128">
        <v>19105</v>
      </c>
      <c r="H128" s="5">
        <f>DATE(YEAR(credit_card_account[[#This Row],[date]]),MONTH(credit_card_account[[#This Row],[date]]),1)</f>
        <v>45231</v>
      </c>
    </row>
    <row r="129" spans="1:8" x14ac:dyDescent="0.3">
      <c r="A129" s="1">
        <v>45255</v>
      </c>
      <c r="B129" t="s">
        <v>1085</v>
      </c>
      <c r="C129" t="s">
        <v>952</v>
      </c>
      <c r="D129" t="s">
        <v>950</v>
      </c>
      <c r="E129" t="s">
        <v>17</v>
      </c>
      <c r="F129">
        <v>460</v>
      </c>
      <c r="G129">
        <v>19565</v>
      </c>
      <c r="H129" s="5">
        <f>DATE(YEAR(credit_card_account[[#This Row],[date]]),MONTH(credit_card_account[[#This Row],[date]]),1)</f>
        <v>45231</v>
      </c>
    </row>
    <row r="130" spans="1:8" x14ac:dyDescent="0.3">
      <c r="A130" s="1">
        <v>45262</v>
      </c>
      <c r="B130" t="s">
        <v>1086</v>
      </c>
      <c r="C130" t="s">
        <v>952</v>
      </c>
      <c r="D130" t="s">
        <v>964</v>
      </c>
      <c r="E130" t="s">
        <v>17</v>
      </c>
      <c r="F130">
        <v>556</v>
      </c>
      <c r="G130">
        <v>20121</v>
      </c>
      <c r="H130" s="5">
        <f>DATE(YEAR(credit_card_account[[#This Row],[date]]),MONTH(credit_card_account[[#This Row],[date]]),1)</f>
        <v>45261</v>
      </c>
    </row>
    <row r="131" spans="1:8" x14ac:dyDescent="0.3">
      <c r="A131" s="1">
        <v>45269</v>
      </c>
      <c r="B131" t="s">
        <v>1087</v>
      </c>
      <c r="C131" t="s">
        <v>949</v>
      </c>
      <c r="D131" t="s">
        <v>950</v>
      </c>
      <c r="E131" t="s">
        <v>17</v>
      </c>
      <c r="F131">
        <v>289</v>
      </c>
      <c r="G131">
        <v>20410</v>
      </c>
      <c r="H131" s="5">
        <f>DATE(YEAR(credit_card_account[[#This Row],[date]]),MONTH(credit_card_account[[#This Row],[date]]),1)</f>
        <v>45261</v>
      </c>
    </row>
    <row r="132" spans="1:8" x14ac:dyDescent="0.3">
      <c r="A132" s="1">
        <v>45276</v>
      </c>
      <c r="B132" t="s">
        <v>1088</v>
      </c>
      <c r="C132" t="s">
        <v>963</v>
      </c>
      <c r="D132" t="s">
        <v>964</v>
      </c>
      <c r="E132" t="s">
        <v>17</v>
      </c>
      <c r="F132">
        <v>410</v>
      </c>
      <c r="G132">
        <v>20820</v>
      </c>
      <c r="H132" s="5">
        <f>DATE(YEAR(credit_card_account[[#This Row],[date]]),MONTH(credit_card_account[[#This Row],[date]]),1)</f>
        <v>45261</v>
      </c>
    </row>
    <row r="133" spans="1:8" x14ac:dyDescent="0.3">
      <c r="A133" s="1">
        <v>45283</v>
      </c>
      <c r="B133" t="s">
        <v>1089</v>
      </c>
      <c r="C133" t="s">
        <v>963</v>
      </c>
      <c r="D133" t="s">
        <v>953</v>
      </c>
      <c r="E133" t="s">
        <v>17</v>
      </c>
      <c r="F133">
        <v>242</v>
      </c>
      <c r="G133">
        <v>21062</v>
      </c>
      <c r="H133" s="5">
        <f>DATE(YEAR(credit_card_account[[#This Row],[date]]),MONTH(credit_card_account[[#This Row],[date]]),1)</f>
        <v>45261</v>
      </c>
    </row>
    <row r="134" spans="1:8" x14ac:dyDescent="0.3">
      <c r="A134" s="1">
        <v>45290</v>
      </c>
      <c r="B134" t="s">
        <v>1090</v>
      </c>
      <c r="C134" t="s">
        <v>960</v>
      </c>
      <c r="D134" t="s">
        <v>964</v>
      </c>
      <c r="E134" t="s">
        <v>17</v>
      </c>
      <c r="F134">
        <v>589</v>
      </c>
      <c r="G134">
        <v>21651</v>
      </c>
      <c r="H134" s="5">
        <f>DATE(YEAR(credit_card_account[[#This Row],[date]]),MONTH(credit_card_account[[#This Row],[date]]),1)</f>
        <v>45261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97F7-2E11-4AD4-A03F-A9C295FBFB90}">
  <dimension ref="A1:Q267"/>
  <sheetViews>
    <sheetView topLeftCell="C1" workbookViewId="0">
      <selection activeCell="P3" sqref="P3"/>
    </sheetView>
  </sheetViews>
  <sheetFormatPr defaultRowHeight="14.4" x14ac:dyDescent="0.3"/>
  <cols>
    <col min="1" max="1" width="14" bestFit="1" customWidth="1"/>
    <col min="2" max="2" width="17.33203125" bestFit="1" customWidth="1"/>
    <col min="3" max="3" width="20.21875" bestFit="1" customWidth="1"/>
    <col min="4" max="4" width="10.88671875" bestFit="1" customWidth="1"/>
    <col min="5" max="5" width="11.77734375" bestFit="1" customWidth="1"/>
    <col min="6" max="6" width="13.109375" bestFit="1" customWidth="1"/>
    <col min="7" max="7" width="15.109375" bestFit="1" customWidth="1"/>
    <col min="8" max="8" width="7" bestFit="1" customWidth="1"/>
    <col min="9" max="9" width="6" bestFit="1" customWidth="1"/>
    <col min="10" max="10" width="18.21875" bestFit="1" customWidth="1"/>
    <col min="11" max="11" width="10" bestFit="1" customWidth="1"/>
    <col min="12" max="12" width="15.44140625" bestFit="1" customWidth="1"/>
    <col min="13" max="13" width="11.88671875" customWidth="1"/>
    <col min="14" max="14" width="7" bestFit="1" customWidth="1"/>
    <col min="15" max="15" width="22.5546875" bestFit="1" customWidth="1"/>
    <col min="16" max="16" width="12.77734375" style="5" bestFit="1" customWidth="1"/>
    <col min="17" max="17" width="20.77734375" bestFit="1" customWidth="1"/>
  </cols>
  <sheetData>
    <row r="1" spans="1:17" x14ac:dyDescent="0.3">
      <c r="A1" t="s">
        <v>1133</v>
      </c>
      <c r="B1" t="s">
        <v>1110</v>
      </c>
      <c r="C1" t="s">
        <v>1111</v>
      </c>
      <c r="D1" t="s">
        <v>1112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1119</v>
      </c>
      <c r="L1" t="s">
        <v>1120</v>
      </c>
      <c r="M1" t="s">
        <v>1121</v>
      </c>
      <c r="N1" t="s">
        <v>1122</v>
      </c>
      <c r="O1" t="s">
        <v>1123</v>
      </c>
      <c r="P1" s="5" t="s">
        <v>1148</v>
      </c>
      <c r="Q1" t="s">
        <v>1151</v>
      </c>
    </row>
    <row r="2" spans="1:17" x14ac:dyDescent="0.3">
      <c r="A2">
        <v>1</v>
      </c>
      <c r="B2" t="s">
        <v>1124</v>
      </c>
      <c r="C2" t="s">
        <v>1125</v>
      </c>
      <c r="D2" s="1">
        <v>44568</v>
      </c>
      <c r="E2">
        <v>2002.24</v>
      </c>
      <c r="F2">
        <v>240.27</v>
      </c>
      <c r="G2">
        <v>100.11</v>
      </c>
      <c r="H2">
        <v>119.13</v>
      </c>
      <c r="I2">
        <v>32.64</v>
      </c>
      <c r="J2">
        <v>0</v>
      </c>
      <c r="K2">
        <v>1510.09</v>
      </c>
      <c r="L2">
        <v>119.13</v>
      </c>
      <c r="M2">
        <v>45.69</v>
      </c>
      <c r="N2">
        <v>0</v>
      </c>
      <c r="O2">
        <v>0</v>
      </c>
      <c r="P2" s="5">
        <f>DATE(YEAR(gusto_payroll_bc[[#This Row],[Pay_Date]]),MONTH(gusto_payroll_bc[[#This Row],[Pay_Date]]),1)</f>
        <v>44562</v>
      </c>
      <c r="Q2">
        <f t="shared" ref="Q2:Q65" si="0">SUM(E2,H2,I2)</f>
        <v>2154.0099999999998</v>
      </c>
    </row>
    <row r="3" spans="1:17" x14ac:dyDescent="0.3">
      <c r="A3">
        <v>1</v>
      </c>
      <c r="B3" t="s">
        <v>1124</v>
      </c>
      <c r="C3" t="s">
        <v>1125</v>
      </c>
      <c r="D3" s="1">
        <v>44582</v>
      </c>
      <c r="E3">
        <v>1985.98</v>
      </c>
      <c r="F3">
        <v>238.32</v>
      </c>
      <c r="G3">
        <v>99.3</v>
      </c>
      <c r="H3">
        <v>118.17</v>
      </c>
      <c r="I3">
        <v>32.369999999999997</v>
      </c>
      <c r="J3">
        <v>0</v>
      </c>
      <c r="K3">
        <v>1497.82</v>
      </c>
      <c r="L3">
        <v>118.17</v>
      </c>
      <c r="M3">
        <v>45.32</v>
      </c>
      <c r="N3">
        <v>0</v>
      </c>
      <c r="O3">
        <v>0</v>
      </c>
      <c r="P3" s="5">
        <f>DATE(YEAR(gusto_payroll_bc[[#This Row],[Pay_Date]]),MONTH(gusto_payroll_bc[[#This Row],[Pay_Date]]),1)</f>
        <v>44562</v>
      </c>
      <c r="Q3">
        <f t="shared" si="0"/>
        <v>2136.52</v>
      </c>
    </row>
    <row r="4" spans="1:17" x14ac:dyDescent="0.3">
      <c r="A4">
        <v>1</v>
      </c>
      <c r="B4" t="s">
        <v>1124</v>
      </c>
      <c r="C4" t="s">
        <v>1125</v>
      </c>
      <c r="D4" s="1">
        <v>44596</v>
      </c>
      <c r="E4">
        <v>2081.15</v>
      </c>
      <c r="F4">
        <v>249.74</v>
      </c>
      <c r="G4">
        <v>104.06</v>
      </c>
      <c r="H4">
        <v>123.83</v>
      </c>
      <c r="I4">
        <v>33.92</v>
      </c>
      <c r="J4">
        <v>0</v>
      </c>
      <c r="K4">
        <v>1569.6</v>
      </c>
      <c r="L4">
        <v>123.83</v>
      </c>
      <c r="M4">
        <v>47.49</v>
      </c>
      <c r="N4">
        <v>0</v>
      </c>
      <c r="O4">
        <v>0</v>
      </c>
      <c r="P4" s="5">
        <f>DATE(YEAR(gusto_payroll_bc[[#This Row],[Pay_Date]]),MONTH(gusto_payroll_bc[[#This Row],[Pay_Date]]),1)</f>
        <v>44593</v>
      </c>
      <c r="Q4">
        <f t="shared" si="0"/>
        <v>2238.9</v>
      </c>
    </row>
    <row r="5" spans="1:17" x14ac:dyDescent="0.3">
      <c r="A5">
        <v>1</v>
      </c>
      <c r="B5" t="s">
        <v>1124</v>
      </c>
      <c r="C5" t="s">
        <v>1125</v>
      </c>
      <c r="D5" s="1">
        <v>44610</v>
      </c>
      <c r="E5">
        <v>1941.95</v>
      </c>
      <c r="F5">
        <v>233.03</v>
      </c>
      <c r="G5">
        <v>97.1</v>
      </c>
      <c r="H5">
        <v>115.55</v>
      </c>
      <c r="I5">
        <v>31.65</v>
      </c>
      <c r="J5">
        <v>0</v>
      </c>
      <c r="K5">
        <v>1464.62</v>
      </c>
      <c r="L5">
        <v>115.55</v>
      </c>
      <c r="M5">
        <v>44.32</v>
      </c>
      <c r="N5">
        <v>0</v>
      </c>
      <c r="O5">
        <v>0</v>
      </c>
      <c r="P5" s="5">
        <f>DATE(YEAR(gusto_payroll_bc[[#This Row],[Pay_Date]]),MONTH(gusto_payroll_bc[[#This Row],[Pay_Date]]),1)</f>
        <v>44593</v>
      </c>
      <c r="Q5">
        <f t="shared" si="0"/>
        <v>2089.15</v>
      </c>
    </row>
    <row r="6" spans="1:17" x14ac:dyDescent="0.3">
      <c r="A6">
        <v>1</v>
      </c>
      <c r="B6" t="s">
        <v>1124</v>
      </c>
      <c r="C6" t="s">
        <v>1125</v>
      </c>
      <c r="D6" s="1">
        <v>44624</v>
      </c>
      <c r="E6">
        <v>1989.04</v>
      </c>
      <c r="F6">
        <v>238.69</v>
      </c>
      <c r="G6">
        <v>99.45</v>
      </c>
      <c r="H6">
        <v>118.35</v>
      </c>
      <c r="I6">
        <v>32.42</v>
      </c>
      <c r="J6">
        <v>0</v>
      </c>
      <c r="K6">
        <v>1500.14</v>
      </c>
      <c r="L6">
        <v>118.35</v>
      </c>
      <c r="M6">
        <v>45.39</v>
      </c>
      <c r="N6">
        <v>0</v>
      </c>
      <c r="O6">
        <v>0</v>
      </c>
      <c r="P6" s="5">
        <f>DATE(YEAR(gusto_payroll_bc[[#This Row],[Pay_Date]]),MONTH(gusto_payroll_bc[[#This Row],[Pay_Date]]),1)</f>
        <v>44621</v>
      </c>
      <c r="Q6">
        <f t="shared" si="0"/>
        <v>2139.81</v>
      </c>
    </row>
    <row r="7" spans="1:17" x14ac:dyDescent="0.3">
      <c r="A7">
        <v>1</v>
      </c>
      <c r="B7" t="s">
        <v>1124</v>
      </c>
      <c r="C7" t="s">
        <v>1125</v>
      </c>
      <c r="D7" s="1">
        <v>44638</v>
      </c>
      <c r="E7">
        <v>1993.08</v>
      </c>
      <c r="F7">
        <v>239.17</v>
      </c>
      <c r="G7">
        <v>99.65</v>
      </c>
      <c r="H7">
        <v>118.59</v>
      </c>
      <c r="I7">
        <v>32.49</v>
      </c>
      <c r="J7">
        <v>0</v>
      </c>
      <c r="K7">
        <v>1503.18</v>
      </c>
      <c r="L7">
        <v>118.59</v>
      </c>
      <c r="M7">
        <v>45.48</v>
      </c>
      <c r="N7">
        <v>0</v>
      </c>
      <c r="O7">
        <v>0</v>
      </c>
      <c r="P7" s="5">
        <f>DATE(YEAR(gusto_payroll_bc[[#This Row],[Pay_Date]]),MONTH(gusto_payroll_bc[[#This Row],[Pay_Date]]),1)</f>
        <v>44621</v>
      </c>
      <c r="Q7">
        <f t="shared" si="0"/>
        <v>2144.16</v>
      </c>
    </row>
    <row r="8" spans="1:17" x14ac:dyDescent="0.3">
      <c r="A8">
        <v>1</v>
      </c>
      <c r="B8" t="s">
        <v>1124</v>
      </c>
      <c r="C8" t="s">
        <v>1125</v>
      </c>
      <c r="D8" s="1">
        <v>44652</v>
      </c>
      <c r="E8">
        <v>1979.78</v>
      </c>
      <c r="F8">
        <v>237.57</v>
      </c>
      <c r="G8">
        <v>98.99</v>
      </c>
      <c r="H8">
        <v>117.8</v>
      </c>
      <c r="I8">
        <v>32.270000000000003</v>
      </c>
      <c r="J8">
        <v>0</v>
      </c>
      <c r="K8">
        <v>1493.15</v>
      </c>
      <c r="L8">
        <v>117.8</v>
      </c>
      <c r="M8">
        <v>45.18</v>
      </c>
      <c r="N8">
        <v>0</v>
      </c>
      <c r="O8">
        <v>0</v>
      </c>
      <c r="P8" s="5">
        <f>DATE(YEAR(gusto_payroll_bc[[#This Row],[Pay_Date]]),MONTH(gusto_payroll_bc[[#This Row],[Pay_Date]]),1)</f>
        <v>44652</v>
      </c>
      <c r="Q8">
        <f t="shared" si="0"/>
        <v>2129.85</v>
      </c>
    </row>
    <row r="9" spans="1:17" x14ac:dyDescent="0.3">
      <c r="A9">
        <v>1</v>
      </c>
      <c r="B9" t="s">
        <v>1124</v>
      </c>
      <c r="C9" t="s">
        <v>1125</v>
      </c>
      <c r="D9" s="1">
        <v>44666</v>
      </c>
      <c r="E9">
        <v>2074.6</v>
      </c>
      <c r="F9">
        <v>248.95</v>
      </c>
      <c r="G9">
        <v>103.73</v>
      </c>
      <c r="H9">
        <v>123.44</v>
      </c>
      <c r="I9">
        <v>33.82</v>
      </c>
      <c r="J9">
        <v>0</v>
      </c>
      <c r="K9">
        <v>1564.66</v>
      </c>
      <c r="L9">
        <v>123.44</v>
      </c>
      <c r="M9">
        <v>47.34</v>
      </c>
      <c r="N9">
        <v>0</v>
      </c>
      <c r="O9">
        <v>0</v>
      </c>
      <c r="P9" s="5">
        <f>DATE(YEAR(gusto_payroll_bc[[#This Row],[Pay_Date]]),MONTH(gusto_payroll_bc[[#This Row],[Pay_Date]]),1)</f>
        <v>44652</v>
      </c>
      <c r="Q9">
        <f t="shared" si="0"/>
        <v>2231.86</v>
      </c>
    </row>
    <row r="10" spans="1:17" x14ac:dyDescent="0.3">
      <c r="A10">
        <v>1</v>
      </c>
      <c r="B10" t="s">
        <v>1124</v>
      </c>
      <c r="C10" t="s">
        <v>1125</v>
      </c>
      <c r="D10" s="1">
        <v>44680</v>
      </c>
      <c r="E10">
        <v>2014.92</v>
      </c>
      <c r="F10">
        <v>241.79</v>
      </c>
      <c r="G10">
        <v>100.75</v>
      </c>
      <c r="H10">
        <v>119.89</v>
      </c>
      <c r="I10">
        <v>32.840000000000003</v>
      </c>
      <c r="J10">
        <v>0</v>
      </c>
      <c r="K10">
        <v>1519.65</v>
      </c>
      <c r="L10">
        <v>119.89</v>
      </c>
      <c r="M10">
        <v>45.98</v>
      </c>
      <c r="N10">
        <v>0</v>
      </c>
      <c r="O10">
        <v>0</v>
      </c>
      <c r="P10" s="5">
        <f>DATE(YEAR(gusto_payroll_bc[[#This Row],[Pay_Date]]),MONTH(gusto_payroll_bc[[#This Row],[Pay_Date]]),1)</f>
        <v>44652</v>
      </c>
      <c r="Q10">
        <f t="shared" si="0"/>
        <v>2167.65</v>
      </c>
    </row>
    <row r="11" spans="1:17" x14ac:dyDescent="0.3">
      <c r="A11">
        <v>1</v>
      </c>
      <c r="B11" t="s">
        <v>1124</v>
      </c>
      <c r="C11" t="s">
        <v>1125</v>
      </c>
      <c r="D11" s="1">
        <v>44694</v>
      </c>
      <c r="E11">
        <v>1949.87</v>
      </c>
      <c r="F11">
        <v>233.98</v>
      </c>
      <c r="G11">
        <v>97.49</v>
      </c>
      <c r="H11">
        <v>116.02</v>
      </c>
      <c r="I11">
        <v>31.78</v>
      </c>
      <c r="J11">
        <v>0</v>
      </c>
      <c r="K11">
        <v>1470.59</v>
      </c>
      <c r="L11">
        <v>116.02</v>
      </c>
      <c r="M11">
        <v>44.5</v>
      </c>
      <c r="N11">
        <v>0</v>
      </c>
      <c r="O11">
        <v>0</v>
      </c>
      <c r="P11" s="5">
        <f>DATE(YEAR(gusto_payroll_bc[[#This Row],[Pay_Date]]),MONTH(gusto_payroll_bc[[#This Row],[Pay_Date]]),1)</f>
        <v>44682</v>
      </c>
      <c r="Q11">
        <f t="shared" si="0"/>
        <v>2097.67</v>
      </c>
    </row>
    <row r="12" spans="1:17" x14ac:dyDescent="0.3">
      <c r="A12">
        <v>1</v>
      </c>
      <c r="B12" t="s">
        <v>1124</v>
      </c>
      <c r="C12" t="s">
        <v>1125</v>
      </c>
      <c r="D12" s="1">
        <v>44708</v>
      </c>
      <c r="E12">
        <v>1970.8</v>
      </c>
      <c r="F12">
        <v>236.5</v>
      </c>
      <c r="G12">
        <v>98.54</v>
      </c>
      <c r="H12">
        <v>117.26</v>
      </c>
      <c r="I12">
        <v>32.119999999999997</v>
      </c>
      <c r="J12">
        <v>0</v>
      </c>
      <c r="K12">
        <v>1486.37</v>
      </c>
      <c r="L12">
        <v>117.26</v>
      </c>
      <c r="M12">
        <v>44.97</v>
      </c>
      <c r="N12">
        <v>0</v>
      </c>
      <c r="O12">
        <v>0</v>
      </c>
      <c r="P12" s="5">
        <f>DATE(YEAR(gusto_payroll_bc[[#This Row],[Pay_Date]]),MONTH(gusto_payroll_bc[[#This Row],[Pay_Date]]),1)</f>
        <v>44682</v>
      </c>
      <c r="Q12">
        <f t="shared" si="0"/>
        <v>2120.1799999999998</v>
      </c>
    </row>
    <row r="13" spans="1:17" x14ac:dyDescent="0.3">
      <c r="A13">
        <v>1</v>
      </c>
      <c r="B13" t="s">
        <v>1124</v>
      </c>
      <c r="C13" t="s">
        <v>1125</v>
      </c>
      <c r="D13" s="1">
        <v>44722</v>
      </c>
      <c r="E13">
        <v>1981.21</v>
      </c>
      <c r="F13">
        <v>237.75</v>
      </c>
      <c r="G13">
        <v>99.06</v>
      </c>
      <c r="H13">
        <v>117.88</v>
      </c>
      <c r="I13">
        <v>32.29</v>
      </c>
      <c r="J13">
        <v>0</v>
      </c>
      <c r="K13">
        <v>1494.23</v>
      </c>
      <c r="L13">
        <v>117.88</v>
      </c>
      <c r="M13">
        <v>45.21</v>
      </c>
      <c r="N13">
        <v>0</v>
      </c>
      <c r="O13">
        <v>0</v>
      </c>
      <c r="P13" s="5">
        <f>DATE(YEAR(gusto_payroll_bc[[#This Row],[Pay_Date]]),MONTH(gusto_payroll_bc[[#This Row],[Pay_Date]]),1)</f>
        <v>44713</v>
      </c>
      <c r="Q13">
        <f t="shared" si="0"/>
        <v>2131.38</v>
      </c>
    </row>
    <row r="14" spans="1:17" x14ac:dyDescent="0.3">
      <c r="A14">
        <v>1</v>
      </c>
      <c r="B14" t="s">
        <v>1124</v>
      </c>
      <c r="C14" t="s">
        <v>1125</v>
      </c>
      <c r="D14" s="1">
        <v>44736</v>
      </c>
      <c r="E14">
        <v>1986.42</v>
      </c>
      <c r="F14">
        <v>238.37</v>
      </c>
      <c r="G14">
        <v>99.32</v>
      </c>
      <c r="H14">
        <v>118.19</v>
      </c>
      <c r="I14">
        <v>32.380000000000003</v>
      </c>
      <c r="J14">
        <v>0</v>
      </c>
      <c r="K14">
        <v>1498.16</v>
      </c>
      <c r="L14">
        <v>118.19</v>
      </c>
      <c r="M14">
        <v>45.33</v>
      </c>
      <c r="N14">
        <v>0</v>
      </c>
      <c r="O14">
        <v>0</v>
      </c>
      <c r="P14" s="5">
        <f>DATE(YEAR(gusto_payroll_bc[[#This Row],[Pay_Date]]),MONTH(gusto_payroll_bc[[#This Row],[Pay_Date]]),1)</f>
        <v>44713</v>
      </c>
      <c r="Q14">
        <f t="shared" si="0"/>
        <v>2136.9900000000002</v>
      </c>
    </row>
    <row r="15" spans="1:17" x14ac:dyDescent="0.3">
      <c r="A15">
        <v>1</v>
      </c>
      <c r="B15" t="s">
        <v>1124</v>
      </c>
      <c r="C15" t="s">
        <v>1125</v>
      </c>
      <c r="D15" s="1">
        <v>44750</v>
      </c>
      <c r="E15">
        <v>1949.88</v>
      </c>
      <c r="F15">
        <v>233.99</v>
      </c>
      <c r="G15">
        <v>97.49</v>
      </c>
      <c r="H15">
        <v>116.02</v>
      </c>
      <c r="I15">
        <v>31.78</v>
      </c>
      <c r="J15">
        <v>0</v>
      </c>
      <c r="K15">
        <v>1470.6</v>
      </c>
      <c r="L15">
        <v>116.02</v>
      </c>
      <c r="M15">
        <v>44.5</v>
      </c>
      <c r="N15">
        <v>0</v>
      </c>
      <c r="O15">
        <v>0</v>
      </c>
      <c r="P15" s="5">
        <f>DATE(YEAR(gusto_payroll_bc[[#This Row],[Pay_Date]]),MONTH(gusto_payroll_bc[[#This Row],[Pay_Date]]),1)</f>
        <v>44743</v>
      </c>
      <c r="Q15">
        <f t="shared" si="0"/>
        <v>2097.6800000000003</v>
      </c>
    </row>
    <row r="16" spans="1:17" x14ac:dyDescent="0.3">
      <c r="A16">
        <v>1</v>
      </c>
      <c r="B16" t="s">
        <v>1124</v>
      </c>
      <c r="C16" t="s">
        <v>1125</v>
      </c>
      <c r="D16" s="1">
        <v>44764</v>
      </c>
      <c r="E16">
        <v>2032.02</v>
      </c>
      <c r="F16">
        <v>243.84</v>
      </c>
      <c r="G16">
        <v>101.6</v>
      </c>
      <c r="H16">
        <v>120.91</v>
      </c>
      <c r="I16">
        <v>33.119999999999997</v>
      </c>
      <c r="J16">
        <v>0</v>
      </c>
      <c r="K16">
        <v>1532.55</v>
      </c>
      <c r="L16">
        <v>120.91</v>
      </c>
      <c r="M16">
        <v>46.37</v>
      </c>
      <c r="N16">
        <v>0</v>
      </c>
      <c r="O16">
        <v>0</v>
      </c>
      <c r="P16" s="5">
        <f>DATE(YEAR(gusto_payroll_bc[[#This Row],[Pay_Date]]),MONTH(gusto_payroll_bc[[#This Row],[Pay_Date]]),1)</f>
        <v>44743</v>
      </c>
      <c r="Q16">
        <f t="shared" si="0"/>
        <v>2186.0499999999997</v>
      </c>
    </row>
    <row r="17" spans="1:17" x14ac:dyDescent="0.3">
      <c r="A17">
        <v>1</v>
      </c>
      <c r="B17" t="s">
        <v>1124</v>
      </c>
      <c r="C17" t="s">
        <v>1125</v>
      </c>
      <c r="D17" s="1">
        <v>44778</v>
      </c>
      <c r="E17">
        <v>2017.34</v>
      </c>
      <c r="F17">
        <v>242.08</v>
      </c>
      <c r="G17">
        <v>100.87</v>
      </c>
      <c r="H17">
        <v>120.03</v>
      </c>
      <c r="I17">
        <v>32.880000000000003</v>
      </c>
      <c r="J17">
        <v>0</v>
      </c>
      <c r="K17">
        <v>1521.47</v>
      </c>
      <c r="L17">
        <v>120.03</v>
      </c>
      <c r="M17">
        <v>46.04</v>
      </c>
      <c r="N17">
        <v>0</v>
      </c>
      <c r="O17">
        <v>0</v>
      </c>
      <c r="P17" s="5">
        <f>DATE(YEAR(gusto_payroll_bc[[#This Row],[Pay_Date]]),MONTH(gusto_payroll_bc[[#This Row],[Pay_Date]]),1)</f>
        <v>44774</v>
      </c>
      <c r="Q17">
        <f t="shared" si="0"/>
        <v>2170.25</v>
      </c>
    </row>
    <row r="18" spans="1:17" x14ac:dyDescent="0.3">
      <c r="A18">
        <v>1</v>
      </c>
      <c r="B18" t="s">
        <v>1124</v>
      </c>
      <c r="C18" t="s">
        <v>1125</v>
      </c>
      <c r="D18" s="1">
        <v>44792</v>
      </c>
      <c r="E18">
        <v>2043.02</v>
      </c>
      <c r="F18">
        <v>245.16</v>
      </c>
      <c r="G18">
        <v>102.15</v>
      </c>
      <c r="H18">
        <v>121.56</v>
      </c>
      <c r="I18">
        <v>33.299999999999997</v>
      </c>
      <c r="J18">
        <v>0</v>
      </c>
      <c r="K18">
        <v>1540.85</v>
      </c>
      <c r="L18">
        <v>121.56</v>
      </c>
      <c r="M18">
        <v>46.62</v>
      </c>
      <c r="N18">
        <v>0</v>
      </c>
      <c r="O18">
        <v>0</v>
      </c>
      <c r="P18" s="5">
        <f>DATE(YEAR(gusto_payroll_bc[[#This Row],[Pay_Date]]),MONTH(gusto_payroll_bc[[#This Row],[Pay_Date]]),1)</f>
        <v>44774</v>
      </c>
      <c r="Q18">
        <f t="shared" si="0"/>
        <v>2197.88</v>
      </c>
    </row>
    <row r="19" spans="1:17" x14ac:dyDescent="0.3">
      <c r="A19">
        <v>1</v>
      </c>
      <c r="B19" t="s">
        <v>1124</v>
      </c>
      <c r="C19" t="s">
        <v>1125</v>
      </c>
      <c r="D19" s="1">
        <v>44806</v>
      </c>
      <c r="E19">
        <v>1998.98</v>
      </c>
      <c r="F19">
        <v>239.88</v>
      </c>
      <c r="G19">
        <v>99.95</v>
      </c>
      <c r="H19">
        <v>118.94</v>
      </c>
      <c r="I19">
        <v>32.58</v>
      </c>
      <c r="J19">
        <v>0</v>
      </c>
      <c r="K19">
        <v>1507.63</v>
      </c>
      <c r="L19">
        <v>118.94</v>
      </c>
      <c r="M19">
        <v>45.62</v>
      </c>
      <c r="N19">
        <v>0</v>
      </c>
      <c r="O19">
        <v>0</v>
      </c>
      <c r="P19" s="5">
        <f>DATE(YEAR(gusto_payroll_bc[[#This Row],[Pay_Date]]),MONTH(gusto_payroll_bc[[#This Row],[Pay_Date]]),1)</f>
        <v>44805</v>
      </c>
      <c r="Q19">
        <f t="shared" si="0"/>
        <v>2150.5</v>
      </c>
    </row>
    <row r="20" spans="1:17" x14ac:dyDescent="0.3">
      <c r="A20">
        <v>1</v>
      </c>
      <c r="B20" t="s">
        <v>1124</v>
      </c>
      <c r="C20" t="s">
        <v>1125</v>
      </c>
      <c r="D20" s="1">
        <v>44820</v>
      </c>
      <c r="E20">
        <v>2013.93</v>
      </c>
      <c r="F20">
        <v>241.67</v>
      </c>
      <c r="G20">
        <v>100.7</v>
      </c>
      <c r="H20">
        <v>119.83</v>
      </c>
      <c r="I20">
        <v>32.83</v>
      </c>
      <c r="J20">
        <v>0</v>
      </c>
      <c r="K20">
        <v>1518.91</v>
      </c>
      <c r="L20">
        <v>119.83</v>
      </c>
      <c r="M20">
        <v>45.96</v>
      </c>
      <c r="N20">
        <v>0</v>
      </c>
      <c r="O20">
        <v>0</v>
      </c>
      <c r="P20" s="5">
        <f>DATE(YEAR(gusto_payroll_bc[[#This Row],[Pay_Date]]),MONTH(gusto_payroll_bc[[#This Row],[Pay_Date]]),1)</f>
        <v>44805</v>
      </c>
      <c r="Q20">
        <f t="shared" si="0"/>
        <v>2166.59</v>
      </c>
    </row>
    <row r="21" spans="1:17" x14ac:dyDescent="0.3">
      <c r="A21">
        <v>1</v>
      </c>
      <c r="B21" t="s">
        <v>1124</v>
      </c>
      <c r="C21" t="s">
        <v>1125</v>
      </c>
      <c r="D21" s="1">
        <v>44834</v>
      </c>
      <c r="E21">
        <v>2009.55</v>
      </c>
      <c r="F21">
        <v>241.15</v>
      </c>
      <c r="G21">
        <v>100.48</v>
      </c>
      <c r="H21">
        <v>119.57</v>
      </c>
      <c r="I21">
        <v>32.76</v>
      </c>
      <c r="J21">
        <v>0</v>
      </c>
      <c r="K21">
        <v>1515.6</v>
      </c>
      <c r="L21">
        <v>119.57</v>
      </c>
      <c r="M21">
        <v>45.86</v>
      </c>
      <c r="N21">
        <v>0</v>
      </c>
      <c r="O21">
        <v>0</v>
      </c>
      <c r="P21" s="5">
        <f>DATE(YEAR(gusto_payroll_bc[[#This Row],[Pay_Date]]),MONTH(gusto_payroll_bc[[#This Row],[Pay_Date]]),1)</f>
        <v>44805</v>
      </c>
      <c r="Q21">
        <f t="shared" si="0"/>
        <v>2161.88</v>
      </c>
    </row>
    <row r="22" spans="1:17" x14ac:dyDescent="0.3">
      <c r="A22">
        <v>1</v>
      </c>
      <c r="B22" t="s">
        <v>1124</v>
      </c>
      <c r="C22" t="s">
        <v>1125</v>
      </c>
      <c r="D22" s="1">
        <v>44848</v>
      </c>
      <c r="E22">
        <v>1919.94</v>
      </c>
      <c r="F22">
        <v>230.39</v>
      </c>
      <c r="G22">
        <v>96</v>
      </c>
      <c r="H22">
        <v>114.24</v>
      </c>
      <c r="I22">
        <v>31.3</v>
      </c>
      <c r="J22">
        <v>0</v>
      </c>
      <c r="K22">
        <v>1448.02</v>
      </c>
      <c r="L22">
        <v>114.24</v>
      </c>
      <c r="M22">
        <v>43.81</v>
      </c>
      <c r="N22">
        <v>0</v>
      </c>
      <c r="O22">
        <v>0</v>
      </c>
      <c r="P22" s="5">
        <f>DATE(YEAR(gusto_payroll_bc[[#This Row],[Pay_Date]]),MONTH(gusto_payroll_bc[[#This Row],[Pay_Date]]),1)</f>
        <v>44835</v>
      </c>
      <c r="Q22">
        <f t="shared" si="0"/>
        <v>2065.48</v>
      </c>
    </row>
    <row r="23" spans="1:17" x14ac:dyDescent="0.3">
      <c r="A23">
        <v>1</v>
      </c>
      <c r="B23" t="s">
        <v>1124</v>
      </c>
      <c r="C23" t="s">
        <v>1125</v>
      </c>
      <c r="D23" s="1">
        <v>44862</v>
      </c>
      <c r="E23">
        <v>2017.86</v>
      </c>
      <c r="F23">
        <v>242.14</v>
      </c>
      <c r="G23">
        <v>100.89</v>
      </c>
      <c r="H23">
        <v>120.06</v>
      </c>
      <c r="I23">
        <v>32.89</v>
      </c>
      <c r="J23">
        <v>0</v>
      </c>
      <c r="K23">
        <v>1521.87</v>
      </c>
      <c r="L23">
        <v>120.06</v>
      </c>
      <c r="M23">
        <v>46.05</v>
      </c>
      <c r="N23">
        <v>0</v>
      </c>
      <c r="O23">
        <v>0</v>
      </c>
      <c r="P23" s="5">
        <f>DATE(YEAR(gusto_payroll_bc[[#This Row],[Pay_Date]]),MONTH(gusto_payroll_bc[[#This Row],[Pay_Date]]),1)</f>
        <v>44835</v>
      </c>
      <c r="Q23">
        <f t="shared" si="0"/>
        <v>2170.81</v>
      </c>
    </row>
    <row r="24" spans="1:17" x14ac:dyDescent="0.3">
      <c r="A24">
        <v>1</v>
      </c>
      <c r="B24" t="s">
        <v>1124</v>
      </c>
      <c r="C24" t="s">
        <v>1125</v>
      </c>
      <c r="D24" s="1">
        <v>44876</v>
      </c>
      <c r="E24">
        <v>1998.25</v>
      </c>
      <c r="F24">
        <v>239.79</v>
      </c>
      <c r="G24">
        <v>99.91</v>
      </c>
      <c r="H24">
        <v>118.9</v>
      </c>
      <c r="I24">
        <v>32.57</v>
      </c>
      <c r="J24">
        <v>0</v>
      </c>
      <c r="K24">
        <v>1507.08</v>
      </c>
      <c r="L24">
        <v>118.9</v>
      </c>
      <c r="M24">
        <v>45.6</v>
      </c>
      <c r="N24">
        <v>0</v>
      </c>
      <c r="O24">
        <v>0</v>
      </c>
      <c r="P24" s="5">
        <f>DATE(YEAR(gusto_payroll_bc[[#This Row],[Pay_Date]]),MONTH(gusto_payroll_bc[[#This Row],[Pay_Date]]),1)</f>
        <v>44866</v>
      </c>
      <c r="Q24">
        <f t="shared" si="0"/>
        <v>2149.7200000000003</v>
      </c>
    </row>
    <row r="25" spans="1:17" x14ac:dyDescent="0.3">
      <c r="A25">
        <v>1</v>
      </c>
      <c r="B25" t="s">
        <v>1124</v>
      </c>
      <c r="C25" t="s">
        <v>1125</v>
      </c>
      <c r="D25" s="1">
        <v>44890</v>
      </c>
      <c r="E25">
        <v>2004.72</v>
      </c>
      <c r="F25">
        <v>240.57</v>
      </c>
      <c r="G25">
        <v>100.24</v>
      </c>
      <c r="H25">
        <v>119.28</v>
      </c>
      <c r="I25">
        <v>32.68</v>
      </c>
      <c r="J25">
        <v>0</v>
      </c>
      <c r="K25">
        <v>1511.96</v>
      </c>
      <c r="L25">
        <v>119.28</v>
      </c>
      <c r="M25">
        <v>45.75</v>
      </c>
      <c r="N25">
        <v>0</v>
      </c>
      <c r="O25">
        <v>0</v>
      </c>
      <c r="P25" s="5">
        <f>DATE(YEAR(gusto_payroll_bc[[#This Row],[Pay_Date]]),MONTH(gusto_payroll_bc[[#This Row],[Pay_Date]]),1)</f>
        <v>44866</v>
      </c>
      <c r="Q25">
        <f t="shared" si="0"/>
        <v>2156.6799999999998</v>
      </c>
    </row>
    <row r="26" spans="1:17" x14ac:dyDescent="0.3">
      <c r="A26">
        <v>1</v>
      </c>
      <c r="B26" t="s">
        <v>1124</v>
      </c>
      <c r="C26" t="s">
        <v>1125</v>
      </c>
      <c r="D26" s="1">
        <v>44904</v>
      </c>
      <c r="E26">
        <v>2010.23</v>
      </c>
      <c r="F26">
        <v>241.23</v>
      </c>
      <c r="G26">
        <v>100.51</v>
      </c>
      <c r="H26">
        <v>119.61</v>
      </c>
      <c r="I26">
        <v>32.770000000000003</v>
      </c>
      <c r="J26">
        <v>0</v>
      </c>
      <c r="K26">
        <v>1516.12</v>
      </c>
      <c r="L26">
        <v>119.61</v>
      </c>
      <c r="M26">
        <v>45.87</v>
      </c>
      <c r="N26">
        <v>0</v>
      </c>
      <c r="O26">
        <v>0</v>
      </c>
      <c r="P26" s="5">
        <f>DATE(YEAR(gusto_payroll_bc[[#This Row],[Pay_Date]]),MONTH(gusto_payroll_bc[[#This Row],[Pay_Date]]),1)</f>
        <v>44896</v>
      </c>
      <c r="Q26">
        <f t="shared" si="0"/>
        <v>2162.61</v>
      </c>
    </row>
    <row r="27" spans="1:17" x14ac:dyDescent="0.3">
      <c r="A27">
        <v>1</v>
      </c>
      <c r="B27" t="s">
        <v>1124</v>
      </c>
      <c r="C27" t="s">
        <v>1125</v>
      </c>
      <c r="D27" s="1">
        <v>44918</v>
      </c>
      <c r="E27">
        <v>1982.99</v>
      </c>
      <c r="F27">
        <v>237.96</v>
      </c>
      <c r="G27">
        <v>99.15</v>
      </c>
      <c r="H27">
        <v>117.99</v>
      </c>
      <c r="I27">
        <v>32.32</v>
      </c>
      <c r="J27">
        <v>0</v>
      </c>
      <c r="K27">
        <v>1495.57</v>
      </c>
      <c r="L27">
        <v>117.99</v>
      </c>
      <c r="M27">
        <v>45.25</v>
      </c>
      <c r="N27">
        <v>0</v>
      </c>
      <c r="O27">
        <v>0</v>
      </c>
      <c r="P27" s="5">
        <f>DATE(YEAR(gusto_payroll_bc[[#This Row],[Pay_Date]]),MONTH(gusto_payroll_bc[[#This Row],[Pay_Date]]),1)</f>
        <v>44896</v>
      </c>
      <c r="Q27">
        <f t="shared" si="0"/>
        <v>2133.3000000000002</v>
      </c>
    </row>
    <row r="28" spans="1:17" x14ac:dyDescent="0.3">
      <c r="A28">
        <v>1</v>
      </c>
      <c r="B28" t="s">
        <v>1124</v>
      </c>
      <c r="C28" t="s">
        <v>1125</v>
      </c>
      <c r="D28" s="1">
        <v>44932</v>
      </c>
      <c r="E28">
        <v>1978.1</v>
      </c>
      <c r="F28">
        <v>237.37</v>
      </c>
      <c r="G28">
        <v>98.9</v>
      </c>
      <c r="H28">
        <v>117.7</v>
      </c>
      <c r="I28">
        <v>32.24</v>
      </c>
      <c r="J28">
        <v>0</v>
      </c>
      <c r="K28">
        <v>1491.88</v>
      </c>
      <c r="L28">
        <v>117.7</v>
      </c>
      <c r="M28">
        <v>45.14</v>
      </c>
      <c r="N28">
        <v>0</v>
      </c>
      <c r="O28">
        <v>0</v>
      </c>
      <c r="P28" s="5">
        <f>DATE(YEAR(gusto_payroll_bc[[#This Row],[Pay_Date]]),MONTH(gusto_payroll_bc[[#This Row],[Pay_Date]]),1)</f>
        <v>44927</v>
      </c>
      <c r="Q28">
        <f t="shared" si="0"/>
        <v>2128.0399999999995</v>
      </c>
    </row>
    <row r="29" spans="1:17" x14ac:dyDescent="0.3">
      <c r="A29">
        <v>1</v>
      </c>
      <c r="B29" t="s">
        <v>1124</v>
      </c>
      <c r="C29" t="s">
        <v>1125</v>
      </c>
      <c r="D29" s="1">
        <v>44946</v>
      </c>
      <c r="E29">
        <v>2134.6999999999998</v>
      </c>
      <c r="F29">
        <v>256.16000000000003</v>
      </c>
      <c r="G29">
        <v>106.73</v>
      </c>
      <c r="H29">
        <v>127.01</v>
      </c>
      <c r="I29">
        <v>34.799999999999997</v>
      </c>
      <c r="J29">
        <v>0</v>
      </c>
      <c r="K29">
        <v>1609.99</v>
      </c>
      <c r="L29">
        <v>127.01</v>
      </c>
      <c r="M29">
        <v>48.71</v>
      </c>
      <c r="N29">
        <v>0</v>
      </c>
      <c r="O29">
        <v>0</v>
      </c>
      <c r="P29" s="5">
        <f>DATE(YEAR(gusto_payroll_bc[[#This Row],[Pay_Date]]),MONTH(gusto_payroll_bc[[#This Row],[Pay_Date]]),1)</f>
        <v>44927</v>
      </c>
      <c r="Q29">
        <f t="shared" si="0"/>
        <v>2296.5100000000002</v>
      </c>
    </row>
    <row r="30" spans="1:17" x14ac:dyDescent="0.3">
      <c r="A30">
        <v>1</v>
      </c>
      <c r="B30" t="s">
        <v>1124</v>
      </c>
      <c r="C30" t="s">
        <v>1125</v>
      </c>
      <c r="D30" s="1">
        <v>44960</v>
      </c>
      <c r="E30">
        <v>1956.17</v>
      </c>
      <c r="F30">
        <v>234.74</v>
      </c>
      <c r="G30">
        <v>97.81</v>
      </c>
      <c r="H30">
        <v>116.39</v>
      </c>
      <c r="I30">
        <v>31.89</v>
      </c>
      <c r="J30">
        <v>0</v>
      </c>
      <c r="K30">
        <v>1475.34</v>
      </c>
      <c r="L30">
        <v>116.39</v>
      </c>
      <c r="M30">
        <v>44.64</v>
      </c>
      <c r="N30">
        <v>0</v>
      </c>
      <c r="O30">
        <v>0</v>
      </c>
      <c r="P30" s="5">
        <f>DATE(YEAR(gusto_payroll_bc[[#This Row],[Pay_Date]]),MONTH(gusto_payroll_bc[[#This Row],[Pay_Date]]),1)</f>
        <v>44958</v>
      </c>
      <c r="Q30">
        <f t="shared" si="0"/>
        <v>2104.4499999999998</v>
      </c>
    </row>
    <row r="31" spans="1:17" x14ac:dyDescent="0.3">
      <c r="A31">
        <v>1</v>
      </c>
      <c r="B31" t="s">
        <v>1124</v>
      </c>
      <c r="C31" t="s">
        <v>1125</v>
      </c>
      <c r="D31" s="1">
        <v>44974</v>
      </c>
      <c r="E31">
        <v>1961.3</v>
      </c>
      <c r="F31">
        <v>235.36</v>
      </c>
      <c r="G31">
        <v>98.07</v>
      </c>
      <c r="H31">
        <v>116.7</v>
      </c>
      <c r="I31">
        <v>31.97</v>
      </c>
      <c r="J31">
        <v>0</v>
      </c>
      <c r="K31">
        <v>1479.21</v>
      </c>
      <c r="L31">
        <v>116.7</v>
      </c>
      <c r="M31">
        <v>44.76</v>
      </c>
      <c r="N31">
        <v>0</v>
      </c>
      <c r="O31">
        <v>0</v>
      </c>
      <c r="P31" s="5">
        <f>DATE(YEAR(gusto_payroll_bc[[#This Row],[Pay_Date]]),MONTH(gusto_payroll_bc[[#This Row],[Pay_Date]]),1)</f>
        <v>44958</v>
      </c>
      <c r="Q31">
        <f t="shared" si="0"/>
        <v>2109.9699999999998</v>
      </c>
    </row>
    <row r="32" spans="1:17" x14ac:dyDescent="0.3">
      <c r="A32">
        <v>1</v>
      </c>
      <c r="B32" t="s">
        <v>1124</v>
      </c>
      <c r="C32" t="s">
        <v>1125</v>
      </c>
      <c r="D32" s="1">
        <v>44988</v>
      </c>
      <c r="E32">
        <v>2024.18</v>
      </c>
      <c r="F32">
        <v>242.9</v>
      </c>
      <c r="G32">
        <v>101.21</v>
      </c>
      <c r="H32">
        <v>120.44</v>
      </c>
      <c r="I32">
        <v>32.99</v>
      </c>
      <c r="J32">
        <v>0</v>
      </c>
      <c r="K32">
        <v>1526.63</v>
      </c>
      <c r="L32">
        <v>120.44</v>
      </c>
      <c r="M32">
        <v>46.19</v>
      </c>
      <c r="N32">
        <v>0</v>
      </c>
      <c r="O32">
        <v>0</v>
      </c>
      <c r="P32" s="5">
        <f>DATE(YEAR(gusto_payroll_bc[[#This Row],[Pay_Date]]),MONTH(gusto_payroll_bc[[#This Row],[Pay_Date]]),1)</f>
        <v>44986</v>
      </c>
      <c r="Q32">
        <f t="shared" si="0"/>
        <v>2177.6099999999997</v>
      </c>
    </row>
    <row r="33" spans="1:17" x14ac:dyDescent="0.3">
      <c r="A33">
        <v>1</v>
      </c>
      <c r="B33" t="s">
        <v>1124</v>
      </c>
      <c r="C33" t="s">
        <v>1125</v>
      </c>
      <c r="D33" s="1">
        <v>45002</v>
      </c>
      <c r="E33">
        <v>1959.71</v>
      </c>
      <c r="F33">
        <v>235.16</v>
      </c>
      <c r="G33">
        <v>97.99</v>
      </c>
      <c r="H33">
        <v>116.6</v>
      </c>
      <c r="I33">
        <v>31.94</v>
      </c>
      <c r="J33">
        <v>0</v>
      </c>
      <c r="K33">
        <v>1478.01</v>
      </c>
      <c r="L33">
        <v>116.6</v>
      </c>
      <c r="M33">
        <v>44.72</v>
      </c>
      <c r="N33">
        <v>0</v>
      </c>
      <c r="O33">
        <v>0</v>
      </c>
      <c r="P33" s="5">
        <f>DATE(YEAR(gusto_payroll_bc[[#This Row],[Pay_Date]]),MONTH(gusto_payroll_bc[[#This Row],[Pay_Date]]),1)</f>
        <v>44986</v>
      </c>
      <c r="Q33">
        <f t="shared" si="0"/>
        <v>2108.25</v>
      </c>
    </row>
    <row r="34" spans="1:17" x14ac:dyDescent="0.3">
      <c r="A34">
        <v>1</v>
      </c>
      <c r="B34" t="s">
        <v>1124</v>
      </c>
      <c r="C34" t="s">
        <v>1125</v>
      </c>
      <c r="D34" s="1">
        <v>45016</v>
      </c>
      <c r="E34">
        <v>2085.71</v>
      </c>
      <c r="F34">
        <v>250.29</v>
      </c>
      <c r="G34">
        <v>104.29</v>
      </c>
      <c r="H34">
        <v>124.1</v>
      </c>
      <c r="I34">
        <v>34</v>
      </c>
      <c r="J34">
        <v>0</v>
      </c>
      <c r="K34">
        <v>1573.04</v>
      </c>
      <c r="L34">
        <v>124.1</v>
      </c>
      <c r="M34">
        <v>47.6</v>
      </c>
      <c r="N34">
        <v>0</v>
      </c>
      <c r="O34">
        <v>0</v>
      </c>
      <c r="P34" s="5">
        <f>DATE(YEAR(gusto_payroll_bc[[#This Row],[Pay_Date]]),MONTH(gusto_payroll_bc[[#This Row],[Pay_Date]]),1)</f>
        <v>44986</v>
      </c>
      <c r="Q34">
        <f t="shared" si="0"/>
        <v>2243.81</v>
      </c>
    </row>
    <row r="35" spans="1:17" x14ac:dyDescent="0.3">
      <c r="A35">
        <v>1</v>
      </c>
      <c r="B35" t="s">
        <v>1124</v>
      </c>
      <c r="C35" t="s">
        <v>1125</v>
      </c>
      <c r="D35" s="1">
        <v>45030</v>
      </c>
      <c r="E35">
        <v>1947.29</v>
      </c>
      <c r="F35">
        <v>233.67</v>
      </c>
      <c r="G35">
        <v>97.36</v>
      </c>
      <c r="H35">
        <v>115.86</v>
      </c>
      <c r="I35">
        <v>31.74</v>
      </c>
      <c r="J35">
        <v>0</v>
      </c>
      <c r="K35">
        <v>1468.65</v>
      </c>
      <c r="L35">
        <v>115.86</v>
      </c>
      <c r="M35">
        <v>44.44</v>
      </c>
      <c r="N35">
        <v>0</v>
      </c>
      <c r="O35">
        <v>0</v>
      </c>
      <c r="P35" s="5">
        <f>DATE(YEAR(gusto_payroll_bc[[#This Row],[Pay_Date]]),MONTH(gusto_payroll_bc[[#This Row],[Pay_Date]]),1)</f>
        <v>45017</v>
      </c>
      <c r="Q35">
        <f t="shared" si="0"/>
        <v>2094.89</v>
      </c>
    </row>
    <row r="36" spans="1:17" x14ac:dyDescent="0.3">
      <c r="A36">
        <v>1</v>
      </c>
      <c r="B36" t="s">
        <v>1124</v>
      </c>
      <c r="C36" t="s">
        <v>1125</v>
      </c>
      <c r="D36" s="1">
        <v>45044</v>
      </c>
      <c r="E36">
        <v>2019.95</v>
      </c>
      <c r="F36">
        <v>242.39</v>
      </c>
      <c r="G36">
        <v>101</v>
      </c>
      <c r="H36">
        <v>120.19</v>
      </c>
      <c r="I36">
        <v>32.93</v>
      </c>
      <c r="J36">
        <v>0</v>
      </c>
      <c r="K36">
        <v>1523.45</v>
      </c>
      <c r="L36">
        <v>120.19</v>
      </c>
      <c r="M36">
        <v>46.1</v>
      </c>
      <c r="N36">
        <v>0</v>
      </c>
      <c r="O36">
        <v>0</v>
      </c>
      <c r="P36" s="5">
        <f>DATE(YEAR(gusto_payroll_bc[[#This Row],[Pay_Date]]),MONTH(gusto_payroll_bc[[#This Row],[Pay_Date]]),1)</f>
        <v>45017</v>
      </c>
      <c r="Q36">
        <f t="shared" si="0"/>
        <v>2173.0699999999997</v>
      </c>
    </row>
    <row r="37" spans="1:17" x14ac:dyDescent="0.3">
      <c r="A37">
        <v>1</v>
      </c>
      <c r="B37" t="s">
        <v>1124</v>
      </c>
      <c r="C37" t="s">
        <v>1125</v>
      </c>
      <c r="D37" s="1">
        <v>45058</v>
      </c>
      <c r="E37">
        <v>2003.57</v>
      </c>
      <c r="F37">
        <v>240.43</v>
      </c>
      <c r="G37">
        <v>100.18</v>
      </c>
      <c r="H37">
        <v>119.21</v>
      </c>
      <c r="I37">
        <v>32.659999999999997</v>
      </c>
      <c r="J37">
        <v>0</v>
      </c>
      <c r="K37">
        <v>1511.09</v>
      </c>
      <c r="L37">
        <v>119.21</v>
      </c>
      <c r="M37">
        <v>45.72</v>
      </c>
      <c r="N37">
        <v>0</v>
      </c>
      <c r="O37">
        <v>0</v>
      </c>
      <c r="P37" s="5">
        <f>DATE(YEAR(gusto_payroll_bc[[#This Row],[Pay_Date]]),MONTH(gusto_payroll_bc[[#This Row],[Pay_Date]]),1)</f>
        <v>45047</v>
      </c>
      <c r="Q37">
        <f t="shared" si="0"/>
        <v>2155.4399999999996</v>
      </c>
    </row>
    <row r="38" spans="1:17" x14ac:dyDescent="0.3">
      <c r="A38">
        <v>1</v>
      </c>
      <c r="B38" t="s">
        <v>1124</v>
      </c>
      <c r="C38" t="s">
        <v>1125</v>
      </c>
      <c r="D38" s="1">
        <v>45072</v>
      </c>
      <c r="E38">
        <v>1907.39</v>
      </c>
      <c r="F38">
        <v>228.89</v>
      </c>
      <c r="G38">
        <v>95.37</v>
      </c>
      <c r="H38">
        <v>113.49</v>
      </c>
      <c r="I38">
        <v>31.09</v>
      </c>
      <c r="J38">
        <v>0</v>
      </c>
      <c r="K38">
        <v>1438.56</v>
      </c>
      <c r="L38">
        <v>113.49</v>
      </c>
      <c r="M38">
        <v>43.53</v>
      </c>
      <c r="N38">
        <v>0</v>
      </c>
      <c r="O38">
        <v>0</v>
      </c>
      <c r="P38" s="5">
        <f>DATE(YEAR(gusto_payroll_bc[[#This Row],[Pay_Date]]),MONTH(gusto_payroll_bc[[#This Row],[Pay_Date]]),1)</f>
        <v>45047</v>
      </c>
      <c r="Q38">
        <f t="shared" si="0"/>
        <v>2051.9700000000003</v>
      </c>
    </row>
    <row r="39" spans="1:17" x14ac:dyDescent="0.3">
      <c r="A39">
        <v>1</v>
      </c>
      <c r="B39" t="s">
        <v>1124</v>
      </c>
      <c r="C39" t="s">
        <v>1125</v>
      </c>
      <c r="D39" s="1">
        <v>45086</v>
      </c>
      <c r="E39">
        <v>1930.83</v>
      </c>
      <c r="F39">
        <v>231.7</v>
      </c>
      <c r="G39">
        <v>96.54</v>
      </c>
      <c r="H39">
        <v>114.88</v>
      </c>
      <c r="I39">
        <v>31.47</v>
      </c>
      <c r="J39">
        <v>0</v>
      </c>
      <c r="K39">
        <v>1456.23</v>
      </c>
      <c r="L39">
        <v>114.88</v>
      </c>
      <c r="M39">
        <v>44.06</v>
      </c>
      <c r="N39">
        <v>0</v>
      </c>
      <c r="O39">
        <v>0</v>
      </c>
      <c r="P39" s="5">
        <f>DATE(YEAR(gusto_payroll_bc[[#This Row],[Pay_Date]]),MONTH(gusto_payroll_bc[[#This Row],[Pay_Date]]),1)</f>
        <v>45078</v>
      </c>
      <c r="Q39">
        <f t="shared" si="0"/>
        <v>2077.1799999999998</v>
      </c>
    </row>
    <row r="40" spans="1:17" x14ac:dyDescent="0.3">
      <c r="A40">
        <v>1</v>
      </c>
      <c r="B40" t="s">
        <v>1124</v>
      </c>
      <c r="C40" t="s">
        <v>1125</v>
      </c>
      <c r="D40" s="1">
        <v>45100</v>
      </c>
      <c r="E40">
        <v>2026.49</v>
      </c>
      <c r="F40">
        <v>243.18</v>
      </c>
      <c r="G40">
        <v>101.32</v>
      </c>
      <c r="H40">
        <v>120.58</v>
      </c>
      <c r="I40">
        <v>33.03</v>
      </c>
      <c r="J40">
        <v>0</v>
      </c>
      <c r="K40">
        <v>1528.38</v>
      </c>
      <c r="L40">
        <v>120.58</v>
      </c>
      <c r="M40">
        <v>46.24</v>
      </c>
      <c r="N40">
        <v>0</v>
      </c>
      <c r="O40">
        <v>0</v>
      </c>
      <c r="P40" s="5">
        <f>DATE(YEAR(gusto_payroll_bc[[#This Row],[Pay_Date]]),MONTH(gusto_payroll_bc[[#This Row],[Pay_Date]]),1)</f>
        <v>45078</v>
      </c>
      <c r="Q40">
        <f t="shared" si="0"/>
        <v>2180.1000000000004</v>
      </c>
    </row>
    <row r="41" spans="1:17" x14ac:dyDescent="0.3">
      <c r="A41">
        <v>1</v>
      </c>
      <c r="B41" t="s">
        <v>1124</v>
      </c>
      <c r="C41" t="s">
        <v>1125</v>
      </c>
      <c r="D41" s="1">
        <v>45114</v>
      </c>
      <c r="E41">
        <v>2041.88</v>
      </c>
      <c r="F41">
        <v>245.03</v>
      </c>
      <c r="G41">
        <v>102.09</v>
      </c>
      <c r="H41">
        <v>121.49</v>
      </c>
      <c r="I41">
        <v>33.28</v>
      </c>
      <c r="J41">
        <v>0</v>
      </c>
      <c r="K41">
        <v>1539.99</v>
      </c>
      <c r="L41">
        <v>121.49</v>
      </c>
      <c r="M41">
        <v>46.6</v>
      </c>
      <c r="N41">
        <v>0</v>
      </c>
      <c r="O41">
        <v>0</v>
      </c>
      <c r="P41" s="5">
        <f>DATE(YEAR(gusto_payroll_bc[[#This Row],[Pay_Date]]),MONTH(gusto_payroll_bc[[#This Row],[Pay_Date]]),1)</f>
        <v>45108</v>
      </c>
      <c r="Q41">
        <f t="shared" si="0"/>
        <v>2196.65</v>
      </c>
    </row>
    <row r="42" spans="1:17" x14ac:dyDescent="0.3">
      <c r="A42">
        <v>1</v>
      </c>
      <c r="B42" t="s">
        <v>1124</v>
      </c>
      <c r="C42" t="s">
        <v>1125</v>
      </c>
      <c r="D42" s="1">
        <v>45128</v>
      </c>
      <c r="E42">
        <v>2032.05</v>
      </c>
      <c r="F42">
        <v>243.85</v>
      </c>
      <c r="G42">
        <v>101.6</v>
      </c>
      <c r="H42">
        <v>120.91</v>
      </c>
      <c r="I42">
        <v>33.119999999999997</v>
      </c>
      <c r="J42">
        <v>0</v>
      </c>
      <c r="K42">
        <v>1532.57</v>
      </c>
      <c r="L42">
        <v>120.91</v>
      </c>
      <c r="M42">
        <v>46.37</v>
      </c>
      <c r="N42">
        <v>0</v>
      </c>
      <c r="O42">
        <v>0</v>
      </c>
      <c r="P42" s="5">
        <f>DATE(YEAR(gusto_payroll_bc[[#This Row],[Pay_Date]]),MONTH(gusto_payroll_bc[[#This Row],[Pay_Date]]),1)</f>
        <v>45108</v>
      </c>
      <c r="Q42">
        <f t="shared" si="0"/>
        <v>2186.08</v>
      </c>
    </row>
    <row r="43" spans="1:17" x14ac:dyDescent="0.3">
      <c r="A43">
        <v>1</v>
      </c>
      <c r="B43" t="s">
        <v>1124</v>
      </c>
      <c r="C43" t="s">
        <v>1125</v>
      </c>
      <c r="D43" s="1">
        <v>45142</v>
      </c>
      <c r="E43">
        <v>2032.79</v>
      </c>
      <c r="F43">
        <v>243.94</v>
      </c>
      <c r="G43">
        <v>101.64</v>
      </c>
      <c r="H43">
        <v>120.95</v>
      </c>
      <c r="I43">
        <v>33.130000000000003</v>
      </c>
      <c r="J43">
        <v>0</v>
      </c>
      <c r="K43">
        <v>1533.13</v>
      </c>
      <c r="L43">
        <v>120.95</v>
      </c>
      <c r="M43">
        <v>46.39</v>
      </c>
      <c r="N43">
        <v>0</v>
      </c>
      <c r="O43">
        <v>0</v>
      </c>
      <c r="P43" s="5">
        <f>DATE(YEAR(gusto_payroll_bc[[#This Row],[Pay_Date]]),MONTH(gusto_payroll_bc[[#This Row],[Pay_Date]]),1)</f>
        <v>45139</v>
      </c>
      <c r="Q43">
        <f t="shared" si="0"/>
        <v>2186.87</v>
      </c>
    </row>
    <row r="44" spans="1:17" x14ac:dyDescent="0.3">
      <c r="A44">
        <v>1</v>
      </c>
      <c r="B44" t="s">
        <v>1124</v>
      </c>
      <c r="C44" t="s">
        <v>1125</v>
      </c>
      <c r="D44" s="1">
        <v>45156</v>
      </c>
      <c r="E44">
        <v>2005.4</v>
      </c>
      <c r="F44">
        <v>240.65</v>
      </c>
      <c r="G44">
        <v>100.27</v>
      </c>
      <c r="H44">
        <v>119.32</v>
      </c>
      <c r="I44">
        <v>32.69</v>
      </c>
      <c r="J44">
        <v>0</v>
      </c>
      <c r="K44">
        <v>1512.47</v>
      </c>
      <c r="L44">
        <v>119.32</v>
      </c>
      <c r="M44">
        <v>45.76</v>
      </c>
      <c r="N44">
        <v>0</v>
      </c>
      <c r="O44">
        <v>0</v>
      </c>
      <c r="P44" s="5">
        <f>DATE(YEAR(gusto_payroll_bc[[#This Row],[Pay_Date]]),MONTH(gusto_payroll_bc[[#This Row],[Pay_Date]]),1)</f>
        <v>45139</v>
      </c>
      <c r="Q44">
        <f t="shared" si="0"/>
        <v>2157.4100000000003</v>
      </c>
    </row>
    <row r="45" spans="1:17" x14ac:dyDescent="0.3">
      <c r="A45">
        <v>1</v>
      </c>
      <c r="B45" t="s">
        <v>1124</v>
      </c>
      <c r="C45" t="s">
        <v>1125</v>
      </c>
      <c r="D45" s="1">
        <v>45170</v>
      </c>
      <c r="E45">
        <v>1907.43</v>
      </c>
      <c r="F45">
        <v>228.89</v>
      </c>
      <c r="G45">
        <v>95.37</v>
      </c>
      <c r="H45">
        <v>113.49</v>
      </c>
      <c r="I45">
        <v>31.09</v>
      </c>
      <c r="J45">
        <v>0</v>
      </c>
      <c r="K45">
        <v>1438.58</v>
      </c>
      <c r="L45">
        <v>113.49</v>
      </c>
      <c r="M45">
        <v>43.53</v>
      </c>
      <c r="N45">
        <v>0</v>
      </c>
      <c r="O45">
        <v>0</v>
      </c>
      <c r="P45" s="5">
        <f>DATE(YEAR(gusto_payroll_bc[[#This Row],[Pay_Date]]),MONTH(gusto_payroll_bc[[#This Row],[Pay_Date]]),1)</f>
        <v>45170</v>
      </c>
      <c r="Q45">
        <f t="shared" si="0"/>
        <v>2052.0100000000002</v>
      </c>
    </row>
    <row r="46" spans="1:17" x14ac:dyDescent="0.3">
      <c r="A46">
        <v>1</v>
      </c>
      <c r="B46" t="s">
        <v>1124</v>
      </c>
      <c r="C46" t="s">
        <v>1125</v>
      </c>
      <c r="D46" s="1">
        <v>45184</v>
      </c>
      <c r="E46">
        <v>1970.87</v>
      </c>
      <c r="F46">
        <v>236.5</v>
      </c>
      <c r="G46">
        <v>98.54</v>
      </c>
      <c r="H46">
        <v>117.27</v>
      </c>
      <c r="I46">
        <v>32.130000000000003</v>
      </c>
      <c r="J46">
        <v>0</v>
      </c>
      <c r="K46">
        <v>1486.43</v>
      </c>
      <c r="L46">
        <v>117.27</v>
      </c>
      <c r="M46">
        <v>44.98</v>
      </c>
      <c r="N46">
        <v>0</v>
      </c>
      <c r="O46">
        <v>0</v>
      </c>
      <c r="P46" s="5">
        <f>DATE(YEAR(gusto_payroll_bc[[#This Row],[Pay_Date]]),MONTH(gusto_payroll_bc[[#This Row],[Pay_Date]]),1)</f>
        <v>45170</v>
      </c>
      <c r="Q46">
        <f t="shared" si="0"/>
        <v>2120.27</v>
      </c>
    </row>
    <row r="47" spans="1:17" x14ac:dyDescent="0.3">
      <c r="A47">
        <v>1</v>
      </c>
      <c r="B47" t="s">
        <v>1124</v>
      </c>
      <c r="C47" t="s">
        <v>1125</v>
      </c>
      <c r="D47" s="1">
        <v>45198</v>
      </c>
      <c r="E47">
        <v>1945.12</v>
      </c>
      <c r="F47">
        <v>233.41</v>
      </c>
      <c r="G47">
        <v>97.26</v>
      </c>
      <c r="H47">
        <v>115.73</v>
      </c>
      <c r="I47">
        <v>31.71</v>
      </c>
      <c r="J47">
        <v>0</v>
      </c>
      <c r="K47">
        <v>1467.01</v>
      </c>
      <c r="L47">
        <v>115.73</v>
      </c>
      <c r="M47">
        <v>44.39</v>
      </c>
      <c r="N47">
        <v>0</v>
      </c>
      <c r="O47">
        <v>0</v>
      </c>
      <c r="P47" s="5">
        <f>DATE(YEAR(gusto_payroll_bc[[#This Row],[Pay_Date]]),MONTH(gusto_payroll_bc[[#This Row],[Pay_Date]]),1)</f>
        <v>45170</v>
      </c>
      <c r="Q47">
        <f t="shared" si="0"/>
        <v>2092.56</v>
      </c>
    </row>
    <row r="48" spans="1:17" x14ac:dyDescent="0.3">
      <c r="A48">
        <v>1</v>
      </c>
      <c r="B48" t="s">
        <v>1124</v>
      </c>
      <c r="C48" t="s">
        <v>1125</v>
      </c>
      <c r="D48" s="1">
        <v>45212</v>
      </c>
      <c r="E48">
        <v>2026.39</v>
      </c>
      <c r="F48">
        <v>243.17</v>
      </c>
      <c r="G48">
        <v>101.32</v>
      </c>
      <c r="H48">
        <v>120.57</v>
      </c>
      <c r="I48">
        <v>33.03</v>
      </c>
      <c r="J48">
        <v>0</v>
      </c>
      <c r="K48">
        <v>1528.3</v>
      </c>
      <c r="L48">
        <v>120.57</v>
      </c>
      <c r="M48">
        <v>46.24</v>
      </c>
      <c r="N48">
        <v>0</v>
      </c>
      <c r="O48">
        <v>0</v>
      </c>
      <c r="P48" s="5">
        <f>DATE(YEAR(gusto_payroll_bc[[#This Row],[Pay_Date]]),MONTH(gusto_payroll_bc[[#This Row],[Pay_Date]]),1)</f>
        <v>45200</v>
      </c>
      <c r="Q48">
        <f t="shared" si="0"/>
        <v>2179.9900000000002</v>
      </c>
    </row>
    <row r="49" spans="1:17" x14ac:dyDescent="0.3">
      <c r="A49">
        <v>1</v>
      </c>
      <c r="B49" t="s">
        <v>1124</v>
      </c>
      <c r="C49" t="s">
        <v>1125</v>
      </c>
      <c r="D49" s="1">
        <v>45226</v>
      </c>
      <c r="E49">
        <v>2055.3000000000002</v>
      </c>
      <c r="F49">
        <v>246.64</v>
      </c>
      <c r="G49">
        <v>102.76</v>
      </c>
      <c r="H49">
        <v>122.29</v>
      </c>
      <c r="I49">
        <v>33.5</v>
      </c>
      <c r="J49">
        <v>0</v>
      </c>
      <c r="K49">
        <v>1550.1</v>
      </c>
      <c r="L49">
        <v>122.29</v>
      </c>
      <c r="M49">
        <v>46.9</v>
      </c>
      <c r="N49">
        <v>0</v>
      </c>
      <c r="O49">
        <v>0</v>
      </c>
      <c r="P49" s="5">
        <f>DATE(YEAR(gusto_payroll_bc[[#This Row],[Pay_Date]]),MONTH(gusto_payroll_bc[[#This Row],[Pay_Date]]),1)</f>
        <v>45200</v>
      </c>
      <c r="Q49">
        <f t="shared" si="0"/>
        <v>2211.09</v>
      </c>
    </row>
    <row r="50" spans="1:17" x14ac:dyDescent="0.3">
      <c r="A50">
        <v>1</v>
      </c>
      <c r="B50" t="s">
        <v>1124</v>
      </c>
      <c r="C50" t="s">
        <v>1125</v>
      </c>
      <c r="D50" s="1">
        <v>45240</v>
      </c>
      <c r="E50">
        <v>2040.05</v>
      </c>
      <c r="F50">
        <v>244.81</v>
      </c>
      <c r="G50">
        <v>102</v>
      </c>
      <c r="H50">
        <v>121.38</v>
      </c>
      <c r="I50">
        <v>33.25</v>
      </c>
      <c r="J50">
        <v>0</v>
      </c>
      <c r="K50">
        <v>1538.61</v>
      </c>
      <c r="L50">
        <v>121.38</v>
      </c>
      <c r="M50">
        <v>46.55</v>
      </c>
      <c r="N50">
        <v>0</v>
      </c>
      <c r="O50">
        <v>0</v>
      </c>
      <c r="P50" s="5">
        <f>DATE(YEAR(gusto_payroll_bc[[#This Row],[Pay_Date]]),MONTH(gusto_payroll_bc[[#This Row],[Pay_Date]]),1)</f>
        <v>45231</v>
      </c>
      <c r="Q50">
        <f t="shared" si="0"/>
        <v>2194.6799999999998</v>
      </c>
    </row>
    <row r="51" spans="1:17" x14ac:dyDescent="0.3">
      <c r="A51">
        <v>1</v>
      </c>
      <c r="B51" t="s">
        <v>1124</v>
      </c>
      <c r="C51" t="s">
        <v>1125</v>
      </c>
      <c r="D51" s="1">
        <v>45254</v>
      </c>
      <c r="E51">
        <v>2021.49</v>
      </c>
      <c r="F51">
        <v>242.58</v>
      </c>
      <c r="G51">
        <v>101.07</v>
      </c>
      <c r="H51">
        <v>120.28</v>
      </c>
      <c r="I51">
        <v>32.950000000000003</v>
      </c>
      <c r="J51">
        <v>0</v>
      </c>
      <c r="K51">
        <v>1524.61</v>
      </c>
      <c r="L51">
        <v>120.28</v>
      </c>
      <c r="M51">
        <v>46.13</v>
      </c>
      <c r="N51">
        <v>0</v>
      </c>
      <c r="O51">
        <v>0</v>
      </c>
      <c r="P51" s="5">
        <f>DATE(YEAR(gusto_payroll_bc[[#This Row],[Pay_Date]]),MONTH(gusto_payroll_bc[[#This Row],[Pay_Date]]),1)</f>
        <v>45231</v>
      </c>
      <c r="Q51">
        <f t="shared" si="0"/>
        <v>2174.7199999999998</v>
      </c>
    </row>
    <row r="52" spans="1:17" x14ac:dyDescent="0.3">
      <c r="A52">
        <v>1</v>
      </c>
      <c r="B52" t="s">
        <v>1124</v>
      </c>
      <c r="C52" t="s">
        <v>1125</v>
      </c>
      <c r="D52" s="1">
        <v>45268</v>
      </c>
      <c r="E52">
        <v>1947.43</v>
      </c>
      <c r="F52">
        <v>233.69</v>
      </c>
      <c r="G52">
        <v>97.37</v>
      </c>
      <c r="H52">
        <v>115.87</v>
      </c>
      <c r="I52">
        <v>31.74</v>
      </c>
      <c r="J52">
        <v>0</v>
      </c>
      <c r="K52">
        <v>1468.75</v>
      </c>
      <c r="L52">
        <v>115.87</v>
      </c>
      <c r="M52">
        <v>44.44</v>
      </c>
      <c r="N52">
        <v>0</v>
      </c>
      <c r="O52">
        <v>0</v>
      </c>
      <c r="P52" s="5">
        <f>DATE(YEAR(gusto_payroll_bc[[#This Row],[Pay_Date]]),MONTH(gusto_payroll_bc[[#This Row],[Pay_Date]]),1)</f>
        <v>45261</v>
      </c>
      <c r="Q52">
        <f t="shared" si="0"/>
        <v>2095.04</v>
      </c>
    </row>
    <row r="53" spans="1:17" x14ac:dyDescent="0.3">
      <c r="A53">
        <v>1</v>
      </c>
      <c r="B53" t="s">
        <v>1124</v>
      </c>
      <c r="C53" t="s">
        <v>1125</v>
      </c>
      <c r="D53" s="1">
        <v>45282</v>
      </c>
      <c r="E53">
        <v>2002.57</v>
      </c>
      <c r="F53">
        <v>240.31</v>
      </c>
      <c r="G53">
        <v>100.13</v>
      </c>
      <c r="H53">
        <v>119.15</v>
      </c>
      <c r="I53">
        <v>32.64</v>
      </c>
      <c r="J53">
        <v>0</v>
      </c>
      <c r="K53">
        <v>1510.34</v>
      </c>
      <c r="L53">
        <v>119.15</v>
      </c>
      <c r="M53">
        <v>45.7</v>
      </c>
      <c r="N53">
        <v>0</v>
      </c>
      <c r="O53">
        <v>0</v>
      </c>
      <c r="P53" s="5">
        <f>DATE(YEAR(gusto_payroll_bc[[#This Row],[Pay_Date]]),MONTH(gusto_payroll_bc[[#This Row],[Pay_Date]]),1)</f>
        <v>45261</v>
      </c>
      <c r="Q53">
        <f t="shared" si="0"/>
        <v>2154.3599999999997</v>
      </c>
    </row>
    <row r="54" spans="1:17" x14ac:dyDescent="0.3">
      <c r="A54">
        <v>2</v>
      </c>
      <c r="B54" t="s">
        <v>1126</v>
      </c>
      <c r="C54" t="s">
        <v>1098</v>
      </c>
      <c r="D54" s="1">
        <v>44568</v>
      </c>
      <c r="E54">
        <v>1301.43</v>
      </c>
      <c r="F54">
        <v>156.16999999999999</v>
      </c>
      <c r="G54">
        <v>65.069999999999993</v>
      </c>
      <c r="H54">
        <v>77.44</v>
      </c>
      <c r="I54">
        <v>21.21</v>
      </c>
      <c r="J54">
        <v>0</v>
      </c>
      <c r="K54">
        <v>981.54</v>
      </c>
      <c r="L54">
        <v>77.44</v>
      </c>
      <c r="M54">
        <v>29.7</v>
      </c>
      <c r="N54">
        <v>190.21</v>
      </c>
      <c r="O54">
        <v>0</v>
      </c>
      <c r="P54" s="5">
        <f>DATE(YEAR(gusto_payroll_bc[[#This Row],[Pay_Date]]),MONTH(gusto_payroll_bc[[#This Row],[Pay_Date]]),1)</f>
        <v>44562</v>
      </c>
      <c r="Q54">
        <f t="shared" si="0"/>
        <v>1400.0800000000002</v>
      </c>
    </row>
    <row r="55" spans="1:17" x14ac:dyDescent="0.3">
      <c r="A55">
        <v>2</v>
      </c>
      <c r="B55" t="s">
        <v>1126</v>
      </c>
      <c r="C55" t="s">
        <v>1098</v>
      </c>
      <c r="D55" s="1">
        <v>44582</v>
      </c>
      <c r="E55">
        <v>1383.1</v>
      </c>
      <c r="F55">
        <v>165.97</v>
      </c>
      <c r="G55">
        <v>69.16</v>
      </c>
      <c r="H55">
        <v>82.29</v>
      </c>
      <c r="I55">
        <v>22.54</v>
      </c>
      <c r="J55">
        <v>0</v>
      </c>
      <c r="K55">
        <v>1043.1400000000001</v>
      </c>
      <c r="L55">
        <v>82.29</v>
      </c>
      <c r="M55">
        <v>31.56</v>
      </c>
      <c r="N55">
        <v>211.66</v>
      </c>
      <c r="O55">
        <v>0</v>
      </c>
      <c r="P55" s="5">
        <f>DATE(YEAR(gusto_payroll_bc[[#This Row],[Pay_Date]]),MONTH(gusto_payroll_bc[[#This Row],[Pay_Date]]),1)</f>
        <v>44562</v>
      </c>
      <c r="Q55">
        <f t="shared" si="0"/>
        <v>1487.9299999999998</v>
      </c>
    </row>
    <row r="56" spans="1:17" x14ac:dyDescent="0.3">
      <c r="A56">
        <v>2</v>
      </c>
      <c r="B56" t="s">
        <v>1126</v>
      </c>
      <c r="C56" t="s">
        <v>1098</v>
      </c>
      <c r="D56" s="1">
        <v>44596</v>
      </c>
      <c r="E56">
        <v>1291.57</v>
      </c>
      <c r="F56">
        <v>154.99</v>
      </c>
      <c r="G56">
        <v>64.58</v>
      </c>
      <c r="H56">
        <v>76.849999999999994</v>
      </c>
      <c r="I56">
        <v>21.05</v>
      </c>
      <c r="J56">
        <v>0</v>
      </c>
      <c r="K56">
        <v>974.1</v>
      </c>
      <c r="L56">
        <v>76.849999999999994</v>
      </c>
      <c r="M56">
        <v>29.47</v>
      </c>
      <c r="N56">
        <v>221.29</v>
      </c>
      <c r="O56">
        <v>0</v>
      </c>
      <c r="P56" s="5">
        <f>DATE(YEAR(gusto_payroll_bc[[#This Row],[Pay_Date]]),MONTH(gusto_payroll_bc[[#This Row],[Pay_Date]]),1)</f>
        <v>44593</v>
      </c>
      <c r="Q56">
        <f t="shared" si="0"/>
        <v>1389.4699999999998</v>
      </c>
    </row>
    <row r="57" spans="1:17" x14ac:dyDescent="0.3">
      <c r="A57">
        <v>2</v>
      </c>
      <c r="B57" t="s">
        <v>1126</v>
      </c>
      <c r="C57" t="s">
        <v>1098</v>
      </c>
      <c r="D57" s="1">
        <v>44610</v>
      </c>
      <c r="E57">
        <v>1311.85</v>
      </c>
      <c r="F57">
        <v>157.41999999999999</v>
      </c>
      <c r="G57">
        <v>65.59</v>
      </c>
      <c r="H57">
        <v>78.05</v>
      </c>
      <c r="I57">
        <v>21.38</v>
      </c>
      <c r="J57">
        <v>0</v>
      </c>
      <c r="K57">
        <v>989.39</v>
      </c>
      <c r="L57">
        <v>78.05</v>
      </c>
      <c r="M57">
        <v>29.94</v>
      </c>
      <c r="N57">
        <v>197.41</v>
      </c>
      <c r="O57">
        <v>0</v>
      </c>
      <c r="P57" s="5">
        <f>DATE(YEAR(gusto_payroll_bc[[#This Row],[Pay_Date]]),MONTH(gusto_payroll_bc[[#This Row],[Pay_Date]]),1)</f>
        <v>44593</v>
      </c>
      <c r="Q57">
        <f t="shared" si="0"/>
        <v>1411.28</v>
      </c>
    </row>
    <row r="58" spans="1:17" x14ac:dyDescent="0.3">
      <c r="A58">
        <v>2</v>
      </c>
      <c r="B58" t="s">
        <v>1126</v>
      </c>
      <c r="C58" t="s">
        <v>1098</v>
      </c>
      <c r="D58" s="1">
        <v>44624</v>
      </c>
      <c r="E58">
        <v>1241.02</v>
      </c>
      <c r="F58">
        <v>148.91999999999999</v>
      </c>
      <c r="G58">
        <v>62.05</v>
      </c>
      <c r="H58">
        <v>73.84</v>
      </c>
      <c r="I58">
        <v>20.23</v>
      </c>
      <c r="J58">
        <v>0</v>
      </c>
      <c r="K58">
        <v>935.98</v>
      </c>
      <c r="L58">
        <v>73.84</v>
      </c>
      <c r="M58">
        <v>28.32</v>
      </c>
      <c r="N58">
        <v>185.24</v>
      </c>
      <c r="O58">
        <v>0</v>
      </c>
      <c r="P58" s="5">
        <f>DATE(YEAR(gusto_payroll_bc[[#This Row],[Pay_Date]]),MONTH(gusto_payroll_bc[[#This Row],[Pay_Date]]),1)</f>
        <v>44621</v>
      </c>
      <c r="Q58">
        <f t="shared" si="0"/>
        <v>1335.09</v>
      </c>
    </row>
    <row r="59" spans="1:17" x14ac:dyDescent="0.3">
      <c r="A59">
        <v>2</v>
      </c>
      <c r="B59" t="s">
        <v>1126</v>
      </c>
      <c r="C59" t="s">
        <v>1098</v>
      </c>
      <c r="D59" s="1">
        <v>44638</v>
      </c>
      <c r="E59">
        <v>1307.07</v>
      </c>
      <c r="F59">
        <v>156.85</v>
      </c>
      <c r="G59">
        <v>65.349999999999994</v>
      </c>
      <c r="H59">
        <v>77.77</v>
      </c>
      <c r="I59">
        <v>21.31</v>
      </c>
      <c r="J59">
        <v>0</v>
      </c>
      <c r="K59">
        <v>985.79</v>
      </c>
      <c r="L59">
        <v>77.77</v>
      </c>
      <c r="M59">
        <v>29.83</v>
      </c>
      <c r="N59">
        <v>190.81</v>
      </c>
      <c r="O59">
        <v>0</v>
      </c>
      <c r="P59" s="5">
        <f>DATE(YEAR(gusto_payroll_bc[[#This Row],[Pay_Date]]),MONTH(gusto_payroll_bc[[#This Row],[Pay_Date]]),1)</f>
        <v>44621</v>
      </c>
      <c r="Q59">
        <f t="shared" si="0"/>
        <v>1406.1499999999999</v>
      </c>
    </row>
    <row r="60" spans="1:17" x14ac:dyDescent="0.3">
      <c r="A60">
        <v>2</v>
      </c>
      <c r="B60" t="s">
        <v>1126</v>
      </c>
      <c r="C60" t="s">
        <v>1098</v>
      </c>
      <c r="D60" s="1">
        <v>44652</v>
      </c>
      <c r="E60">
        <v>1382.18</v>
      </c>
      <c r="F60">
        <v>165.86</v>
      </c>
      <c r="G60">
        <v>69.11</v>
      </c>
      <c r="H60">
        <v>82.24</v>
      </c>
      <c r="I60">
        <v>22.53</v>
      </c>
      <c r="J60">
        <v>0</v>
      </c>
      <c r="K60">
        <v>1042.44</v>
      </c>
      <c r="L60">
        <v>82.24</v>
      </c>
      <c r="M60">
        <v>31.54</v>
      </c>
      <c r="N60">
        <v>252.44</v>
      </c>
      <c r="O60">
        <v>0</v>
      </c>
      <c r="P60" s="5">
        <f>DATE(YEAR(gusto_payroll_bc[[#This Row],[Pay_Date]]),MONTH(gusto_payroll_bc[[#This Row],[Pay_Date]]),1)</f>
        <v>44652</v>
      </c>
      <c r="Q60">
        <f t="shared" si="0"/>
        <v>1486.95</v>
      </c>
    </row>
    <row r="61" spans="1:17" x14ac:dyDescent="0.3">
      <c r="A61">
        <v>2</v>
      </c>
      <c r="B61" t="s">
        <v>1126</v>
      </c>
      <c r="C61" t="s">
        <v>1098</v>
      </c>
      <c r="D61" s="1">
        <v>44666</v>
      </c>
      <c r="E61">
        <v>1306.3699999999999</v>
      </c>
      <c r="F61">
        <v>156.76</v>
      </c>
      <c r="G61">
        <v>65.319999999999993</v>
      </c>
      <c r="H61">
        <v>77.73</v>
      </c>
      <c r="I61">
        <v>21.29</v>
      </c>
      <c r="J61">
        <v>0</v>
      </c>
      <c r="K61">
        <v>985.26</v>
      </c>
      <c r="L61">
        <v>77.73</v>
      </c>
      <c r="M61">
        <v>29.81</v>
      </c>
      <c r="N61">
        <v>209.3</v>
      </c>
      <c r="O61">
        <v>0</v>
      </c>
      <c r="P61" s="5">
        <f>DATE(YEAR(gusto_payroll_bc[[#This Row],[Pay_Date]]),MONTH(gusto_payroll_bc[[#This Row],[Pay_Date]]),1)</f>
        <v>44652</v>
      </c>
      <c r="Q61">
        <f t="shared" si="0"/>
        <v>1405.3899999999999</v>
      </c>
    </row>
    <row r="62" spans="1:17" x14ac:dyDescent="0.3">
      <c r="A62">
        <v>2</v>
      </c>
      <c r="B62" t="s">
        <v>1126</v>
      </c>
      <c r="C62" t="s">
        <v>1098</v>
      </c>
      <c r="D62" s="1">
        <v>44680</v>
      </c>
      <c r="E62">
        <v>1277.42</v>
      </c>
      <c r="F62">
        <v>153.29</v>
      </c>
      <c r="G62">
        <v>63.87</v>
      </c>
      <c r="H62">
        <v>76.010000000000005</v>
      </c>
      <c r="I62">
        <v>20.82</v>
      </c>
      <c r="J62">
        <v>0</v>
      </c>
      <c r="K62">
        <v>963.43</v>
      </c>
      <c r="L62">
        <v>76.010000000000005</v>
      </c>
      <c r="M62">
        <v>29.15</v>
      </c>
      <c r="N62">
        <v>193.59</v>
      </c>
      <c r="O62">
        <v>0</v>
      </c>
      <c r="P62" s="5">
        <f>DATE(YEAR(gusto_payroll_bc[[#This Row],[Pay_Date]]),MONTH(gusto_payroll_bc[[#This Row],[Pay_Date]]),1)</f>
        <v>44652</v>
      </c>
      <c r="Q62">
        <f t="shared" si="0"/>
        <v>1374.25</v>
      </c>
    </row>
    <row r="63" spans="1:17" x14ac:dyDescent="0.3">
      <c r="A63">
        <v>2</v>
      </c>
      <c r="B63" t="s">
        <v>1126</v>
      </c>
      <c r="C63" t="s">
        <v>1098</v>
      </c>
      <c r="D63" s="1">
        <v>44694</v>
      </c>
      <c r="E63">
        <v>1301.72</v>
      </c>
      <c r="F63">
        <v>156.21</v>
      </c>
      <c r="G63">
        <v>65.09</v>
      </c>
      <c r="H63">
        <v>77.45</v>
      </c>
      <c r="I63">
        <v>21.22</v>
      </c>
      <c r="J63">
        <v>0</v>
      </c>
      <c r="K63">
        <v>981.76</v>
      </c>
      <c r="L63">
        <v>77.45</v>
      </c>
      <c r="M63">
        <v>29.71</v>
      </c>
      <c r="N63">
        <v>217.58</v>
      </c>
      <c r="O63">
        <v>0</v>
      </c>
      <c r="P63" s="5">
        <f>DATE(YEAR(gusto_payroll_bc[[#This Row],[Pay_Date]]),MONTH(gusto_payroll_bc[[#This Row],[Pay_Date]]),1)</f>
        <v>44682</v>
      </c>
      <c r="Q63">
        <f t="shared" si="0"/>
        <v>1400.39</v>
      </c>
    </row>
    <row r="64" spans="1:17" x14ac:dyDescent="0.3">
      <c r="A64">
        <v>2</v>
      </c>
      <c r="B64" t="s">
        <v>1126</v>
      </c>
      <c r="C64" t="s">
        <v>1098</v>
      </c>
      <c r="D64" s="1">
        <v>44708</v>
      </c>
      <c r="E64">
        <v>1283.7</v>
      </c>
      <c r="F64">
        <v>154.04</v>
      </c>
      <c r="G64">
        <v>64.180000000000007</v>
      </c>
      <c r="H64">
        <v>76.38</v>
      </c>
      <c r="I64">
        <v>20.92</v>
      </c>
      <c r="J64">
        <v>0</v>
      </c>
      <c r="K64">
        <v>968.16</v>
      </c>
      <c r="L64">
        <v>76.38</v>
      </c>
      <c r="M64">
        <v>29.29</v>
      </c>
      <c r="N64">
        <v>193.05</v>
      </c>
      <c r="O64">
        <v>0</v>
      </c>
      <c r="P64" s="5">
        <f>DATE(YEAR(gusto_payroll_bc[[#This Row],[Pay_Date]]),MONTH(gusto_payroll_bc[[#This Row],[Pay_Date]]),1)</f>
        <v>44682</v>
      </c>
      <c r="Q64">
        <f t="shared" si="0"/>
        <v>1381</v>
      </c>
    </row>
    <row r="65" spans="1:17" x14ac:dyDescent="0.3">
      <c r="A65">
        <v>2</v>
      </c>
      <c r="B65" t="s">
        <v>1126</v>
      </c>
      <c r="C65" t="s">
        <v>1098</v>
      </c>
      <c r="D65" s="1">
        <v>44722</v>
      </c>
      <c r="E65">
        <v>1160.82</v>
      </c>
      <c r="F65">
        <v>139.30000000000001</v>
      </c>
      <c r="G65">
        <v>58.04</v>
      </c>
      <c r="H65">
        <v>69.069999999999993</v>
      </c>
      <c r="I65">
        <v>18.920000000000002</v>
      </c>
      <c r="J65">
        <v>0</v>
      </c>
      <c r="K65">
        <v>875.49</v>
      </c>
      <c r="L65">
        <v>69.069999999999993</v>
      </c>
      <c r="M65">
        <v>26.49</v>
      </c>
      <c r="N65">
        <v>171.56</v>
      </c>
      <c r="O65">
        <v>0</v>
      </c>
      <c r="P65" s="5">
        <f>DATE(YEAR(gusto_payroll_bc[[#This Row],[Pay_Date]]),MONTH(gusto_payroll_bc[[#This Row],[Pay_Date]]),1)</f>
        <v>44713</v>
      </c>
      <c r="Q65">
        <f t="shared" si="0"/>
        <v>1248.81</v>
      </c>
    </row>
    <row r="66" spans="1:17" x14ac:dyDescent="0.3">
      <c r="A66">
        <v>2</v>
      </c>
      <c r="B66" t="s">
        <v>1126</v>
      </c>
      <c r="C66" t="s">
        <v>1098</v>
      </c>
      <c r="D66" s="1">
        <v>44736</v>
      </c>
      <c r="E66">
        <v>1311.7</v>
      </c>
      <c r="F66">
        <v>157.4</v>
      </c>
      <c r="G66">
        <v>65.59</v>
      </c>
      <c r="H66">
        <v>78.05</v>
      </c>
      <c r="I66">
        <v>21.38</v>
      </c>
      <c r="J66">
        <v>0</v>
      </c>
      <c r="K66">
        <v>989.29</v>
      </c>
      <c r="L66">
        <v>78.05</v>
      </c>
      <c r="M66">
        <v>29.93</v>
      </c>
      <c r="N66">
        <v>229.26</v>
      </c>
      <c r="O66">
        <v>0</v>
      </c>
      <c r="P66" s="5">
        <f>DATE(YEAR(gusto_payroll_bc[[#This Row],[Pay_Date]]),MONTH(gusto_payroll_bc[[#This Row],[Pay_Date]]),1)</f>
        <v>44713</v>
      </c>
      <c r="Q66">
        <f t="shared" ref="Q66:Q129" si="1">SUM(E66,H66,I66)</f>
        <v>1411.13</v>
      </c>
    </row>
    <row r="67" spans="1:17" x14ac:dyDescent="0.3">
      <c r="A67">
        <v>2</v>
      </c>
      <c r="B67" t="s">
        <v>1126</v>
      </c>
      <c r="C67" t="s">
        <v>1098</v>
      </c>
      <c r="D67" s="1">
        <v>44750</v>
      </c>
      <c r="E67">
        <v>1247.71</v>
      </c>
      <c r="F67">
        <v>149.72</v>
      </c>
      <c r="G67">
        <v>62.39</v>
      </c>
      <c r="H67">
        <v>74.239999999999995</v>
      </c>
      <c r="I67">
        <v>20.34</v>
      </c>
      <c r="J67">
        <v>0</v>
      </c>
      <c r="K67">
        <v>941.02</v>
      </c>
      <c r="L67">
        <v>74.239999999999995</v>
      </c>
      <c r="M67">
        <v>28.47</v>
      </c>
      <c r="N67">
        <v>180.97</v>
      </c>
      <c r="O67">
        <v>0</v>
      </c>
      <c r="P67" s="5">
        <f>DATE(YEAR(gusto_payroll_bc[[#This Row],[Pay_Date]]),MONTH(gusto_payroll_bc[[#This Row],[Pay_Date]]),1)</f>
        <v>44743</v>
      </c>
      <c r="Q67">
        <f t="shared" si="1"/>
        <v>1342.29</v>
      </c>
    </row>
    <row r="68" spans="1:17" x14ac:dyDescent="0.3">
      <c r="A68">
        <v>2</v>
      </c>
      <c r="B68" t="s">
        <v>1126</v>
      </c>
      <c r="C68" t="s">
        <v>1098</v>
      </c>
      <c r="D68" s="1">
        <v>44764</v>
      </c>
      <c r="E68">
        <v>1294</v>
      </c>
      <c r="F68">
        <v>155.28</v>
      </c>
      <c r="G68">
        <v>64.7</v>
      </c>
      <c r="H68">
        <v>76.989999999999995</v>
      </c>
      <c r="I68">
        <v>21.09</v>
      </c>
      <c r="J68">
        <v>0</v>
      </c>
      <c r="K68">
        <v>975.94</v>
      </c>
      <c r="L68">
        <v>76.989999999999995</v>
      </c>
      <c r="M68">
        <v>29.53</v>
      </c>
      <c r="N68">
        <v>197.04</v>
      </c>
      <c r="O68">
        <v>0</v>
      </c>
      <c r="P68" s="5">
        <f>DATE(YEAR(gusto_payroll_bc[[#This Row],[Pay_Date]]),MONTH(gusto_payroll_bc[[#This Row],[Pay_Date]]),1)</f>
        <v>44743</v>
      </c>
      <c r="Q68">
        <f t="shared" si="1"/>
        <v>1392.08</v>
      </c>
    </row>
    <row r="69" spans="1:17" x14ac:dyDescent="0.3">
      <c r="A69">
        <v>2</v>
      </c>
      <c r="B69" t="s">
        <v>1126</v>
      </c>
      <c r="C69" t="s">
        <v>1098</v>
      </c>
      <c r="D69" s="1">
        <v>44778</v>
      </c>
      <c r="E69">
        <v>1310.79</v>
      </c>
      <c r="F69">
        <v>157.29</v>
      </c>
      <c r="G69">
        <v>65.540000000000006</v>
      </c>
      <c r="H69">
        <v>77.989999999999995</v>
      </c>
      <c r="I69">
        <v>21.37</v>
      </c>
      <c r="J69">
        <v>0</v>
      </c>
      <c r="K69">
        <v>988.6</v>
      </c>
      <c r="L69">
        <v>77.989999999999995</v>
      </c>
      <c r="M69">
        <v>29.91</v>
      </c>
      <c r="N69">
        <v>212.47</v>
      </c>
      <c r="O69">
        <v>0</v>
      </c>
      <c r="P69" s="5">
        <f>DATE(YEAR(gusto_payroll_bc[[#This Row],[Pay_Date]]),MONTH(gusto_payroll_bc[[#This Row],[Pay_Date]]),1)</f>
        <v>44774</v>
      </c>
      <c r="Q69">
        <f t="shared" si="1"/>
        <v>1410.1499999999999</v>
      </c>
    </row>
    <row r="70" spans="1:17" x14ac:dyDescent="0.3">
      <c r="A70">
        <v>2</v>
      </c>
      <c r="B70" t="s">
        <v>1126</v>
      </c>
      <c r="C70" t="s">
        <v>1098</v>
      </c>
      <c r="D70" s="1">
        <v>44792</v>
      </c>
      <c r="E70">
        <v>1282.8699999999999</v>
      </c>
      <c r="F70">
        <v>153.94</v>
      </c>
      <c r="G70">
        <v>64.14</v>
      </c>
      <c r="H70">
        <v>76.33</v>
      </c>
      <c r="I70">
        <v>20.91</v>
      </c>
      <c r="J70">
        <v>0</v>
      </c>
      <c r="K70">
        <v>967.54</v>
      </c>
      <c r="L70">
        <v>76.33</v>
      </c>
      <c r="M70">
        <v>29.28</v>
      </c>
      <c r="N70">
        <v>196.39</v>
      </c>
      <c r="O70">
        <v>0</v>
      </c>
      <c r="P70" s="5">
        <f>DATE(YEAR(gusto_payroll_bc[[#This Row],[Pay_Date]]),MONTH(gusto_payroll_bc[[#This Row],[Pay_Date]]),1)</f>
        <v>44774</v>
      </c>
      <c r="Q70">
        <f t="shared" si="1"/>
        <v>1380.11</v>
      </c>
    </row>
    <row r="71" spans="1:17" x14ac:dyDescent="0.3">
      <c r="A71">
        <v>2</v>
      </c>
      <c r="B71" t="s">
        <v>1126</v>
      </c>
      <c r="C71" t="s">
        <v>1098</v>
      </c>
      <c r="D71" s="1">
        <v>44806</v>
      </c>
      <c r="E71">
        <v>1193</v>
      </c>
      <c r="F71">
        <v>143.16</v>
      </c>
      <c r="G71">
        <v>59.65</v>
      </c>
      <c r="H71">
        <v>70.98</v>
      </c>
      <c r="I71">
        <v>19.45</v>
      </c>
      <c r="J71">
        <v>0</v>
      </c>
      <c r="K71">
        <v>899.76</v>
      </c>
      <c r="L71">
        <v>70.98</v>
      </c>
      <c r="M71">
        <v>27.22</v>
      </c>
      <c r="N71">
        <v>136.77000000000001</v>
      </c>
      <c r="O71">
        <v>0</v>
      </c>
      <c r="P71" s="5">
        <f>DATE(YEAR(gusto_payroll_bc[[#This Row],[Pay_Date]]),MONTH(gusto_payroll_bc[[#This Row],[Pay_Date]]),1)</f>
        <v>44805</v>
      </c>
      <c r="Q71">
        <f t="shared" si="1"/>
        <v>1283.43</v>
      </c>
    </row>
    <row r="72" spans="1:17" x14ac:dyDescent="0.3">
      <c r="A72">
        <v>2</v>
      </c>
      <c r="B72" t="s">
        <v>1126</v>
      </c>
      <c r="C72" t="s">
        <v>1098</v>
      </c>
      <c r="D72" s="1">
        <v>44820</v>
      </c>
      <c r="E72">
        <v>1227.55</v>
      </c>
      <c r="F72">
        <v>147.31</v>
      </c>
      <c r="G72">
        <v>61.38</v>
      </c>
      <c r="H72">
        <v>73.040000000000006</v>
      </c>
      <c r="I72">
        <v>20.010000000000002</v>
      </c>
      <c r="J72">
        <v>0</v>
      </c>
      <c r="K72">
        <v>925.82</v>
      </c>
      <c r="L72">
        <v>73.040000000000006</v>
      </c>
      <c r="M72">
        <v>28.01</v>
      </c>
      <c r="N72">
        <v>194.52</v>
      </c>
      <c r="O72">
        <v>0</v>
      </c>
      <c r="P72" s="5">
        <f>DATE(YEAR(gusto_payroll_bc[[#This Row],[Pay_Date]]),MONTH(gusto_payroll_bc[[#This Row],[Pay_Date]]),1)</f>
        <v>44805</v>
      </c>
      <c r="Q72">
        <f t="shared" si="1"/>
        <v>1320.6</v>
      </c>
    </row>
    <row r="73" spans="1:17" x14ac:dyDescent="0.3">
      <c r="A73">
        <v>2</v>
      </c>
      <c r="B73" t="s">
        <v>1126</v>
      </c>
      <c r="C73" t="s">
        <v>1098</v>
      </c>
      <c r="D73" s="1">
        <v>44834</v>
      </c>
      <c r="E73">
        <v>1361.99</v>
      </c>
      <c r="F73">
        <v>163.44</v>
      </c>
      <c r="G73">
        <v>68.099999999999994</v>
      </c>
      <c r="H73">
        <v>81.040000000000006</v>
      </c>
      <c r="I73">
        <v>22.2</v>
      </c>
      <c r="J73">
        <v>0</v>
      </c>
      <c r="K73">
        <v>1027.21</v>
      </c>
      <c r="L73">
        <v>81.040000000000006</v>
      </c>
      <c r="M73">
        <v>31.08</v>
      </c>
      <c r="N73">
        <v>166.6</v>
      </c>
      <c r="O73">
        <v>0</v>
      </c>
      <c r="P73" s="5">
        <f>DATE(YEAR(gusto_payroll_bc[[#This Row],[Pay_Date]]),MONTH(gusto_payroll_bc[[#This Row],[Pay_Date]]),1)</f>
        <v>44805</v>
      </c>
      <c r="Q73">
        <f t="shared" si="1"/>
        <v>1465.23</v>
      </c>
    </row>
    <row r="74" spans="1:17" x14ac:dyDescent="0.3">
      <c r="A74">
        <v>2</v>
      </c>
      <c r="B74" t="s">
        <v>1126</v>
      </c>
      <c r="C74" t="s">
        <v>1098</v>
      </c>
      <c r="D74" s="1">
        <v>44848</v>
      </c>
      <c r="E74">
        <v>1262.5</v>
      </c>
      <c r="F74">
        <v>151.5</v>
      </c>
      <c r="G74">
        <v>63.13</v>
      </c>
      <c r="H74">
        <v>75.12</v>
      </c>
      <c r="I74">
        <v>20.58</v>
      </c>
      <c r="J74">
        <v>0</v>
      </c>
      <c r="K74">
        <v>952.18</v>
      </c>
      <c r="L74">
        <v>75.12</v>
      </c>
      <c r="M74">
        <v>28.81</v>
      </c>
      <c r="N74">
        <v>190.71</v>
      </c>
      <c r="O74">
        <v>0</v>
      </c>
      <c r="P74" s="5">
        <f>DATE(YEAR(gusto_payroll_bc[[#This Row],[Pay_Date]]),MONTH(gusto_payroll_bc[[#This Row],[Pay_Date]]),1)</f>
        <v>44835</v>
      </c>
      <c r="Q74">
        <f t="shared" si="1"/>
        <v>1358.1999999999998</v>
      </c>
    </row>
    <row r="75" spans="1:17" x14ac:dyDescent="0.3">
      <c r="A75">
        <v>2</v>
      </c>
      <c r="B75" t="s">
        <v>1126</v>
      </c>
      <c r="C75" t="s">
        <v>1098</v>
      </c>
      <c r="D75" s="1">
        <v>44862</v>
      </c>
      <c r="E75">
        <v>1305.96</v>
      </c>
      <c r="F75">
        <v>156.72</v>
      </c>
      <c r="G75">
        <v>65.3</v>
      </c>
      <c r="H75">
        <v>77.7</v>
      </c>
      <c r="I75">
        <v>21.29</v>
      </c>
      <c r="J75">
        <v>0</v>
      </c>
      <c r="K75">
        <v>984.96</v>
      </c>
      <c r="L75">
        <v>77.7</v>
      </c>
      <c r="M75">
        <v>29.8</v>
      </c>
      <c r="N75">
        <v>223.57</v>
      </c>
      <c r="O75">
        <v>0</v>
      </c>
      <c r="P75" s="5">
        <f>DATE(YEAR(gusto_payroll_bc[[#This Row],[Pay_Date]]),MONTH(gusto_payroll_bc[[#This Row],[Pay_Date]]),1)</f>
        <v>44835</v>
      </c>
      <c r="Q75">
        <f t="shared" si="1"/>
        <v>1404.95</v>
      </c>
    </row>
    <row r="76" spans="1:17" x14ac:dyDescent="0.3">
      <c r="A76">
        <v>2</v>
      </c>
      <c r="B76" t="s">
        <v>1126</v>
      </c>
      <c r="C76" t="s">
        <v>1098</v>
      </c>
      <c r="D76" s="1">
        <v>44876</v>
      </c>
      <c r="E76">
        <v>1257.29</v>
      </c>
      <c r="F76">
        <v>150.88</v>
      </c>
      <c r="G76">
        <v>62.86</v>
      </c>
      <c r="H76">
        <v>74.81</v>
      </c>
      <c r="I76">
        <v>20.49</v>
      </c>
      <c r="J76">
        <v>0</v>
      </c>
      <c r="K76">
        <v>948.25</v>
      </c>
      <c r="L76">
        <v>74.81</v>
      </c>
      <c r="M76">
        <v>28.69</v>
      </c>
      <c r="N76">
        <v>200.26</v>
      </c>
      <c r="O76">
        <v>0</v>
      </c>
      <c r="P76" s="5">
        <f>DATE(YEAR(gusto_payroll_bc[[#This Row],[Pay_Date]]),MONTH(gusto_payroll_bc[[#This Row],[Pay_Date]]),1)</f>
        <v>44866</v>
      </c>
      <c r="Q76">
        <f t="shared" si="1"/>
        <v>1352.59</v>
      </c>
    </row>
    <row r="77" spans="1:17" x14ac:dyDescent="0.3">
      <c r="A77">
        <v>2</v>
      </c>
      <c r="B77" t="s">
        <v>1126</v>
      </c>
      <c r="C77" t="s">
        <v>1098</v>
      </c>
      <c r="D77" s="1">
        <v>44890</v>
      </c>
      <c r="E77">
        <v>1406.86</v>
      </c>
      <c r="F77">
        <v>168.82</v>
      </c>
      <c r="G77">
        <v>70.34</v>
      </c>
      <c r="H77">
        <v>83.71</v>
      </c>
      <c r="I77">
        <v>22.93</v>
      </c>
      <c r="J77">
        <v>0</v>
      </c>
      <c r="K77">
        <v>1061.06</v>
      </c>
      <c r="L77">
        <v>83.71</v>
      </c>
      <c r="M77">
        <v>32.1</v>
      </c>
      <c r="N77">
        <v>219.83</v>
      </c>
      <c r="O77">
        <v>0</v>
      </c>
      <c r="P77" s="5">
        <f>DATE(YEAR(gusto_payroll_bc[[#This Row],[Pay_Date]]),MONTH(gusto_payroll_bc[[#This Row],[Pay_Date]]),1)</f>
        <v>44866</v>
      </c>
      <c r="Q77">
        <f t="shared" si="1"/>
        <v>1513.5</v>
      </c>
    </row>
    <row r="78" spans="1:17" x14ac:dyDescent="0.3">
      <c r="A78">
        <v>2</v>
      </c>
      <c r="B78" t="s">
        <v>1126</v>
      </c>
      <c r="C78" t="s">
        <v>1098</v>
      </c>
      <c r="D78" s="1">
        <v>44904</v>
      </c>
      <c r="E78">
        <v>1260.56</v>
      </c>
      <c r="F78">
        <v>151.27000000000001</v>
      </c>
      <c r="G78">
        <v>63.03</v>
      </c>
      <c r="H78">
        <v>75</v>
      </c>
      <c r="I78">
        <v>20.55</v>
      </c>
      <c r="J78">
        <v>0</v>
      </c>
      <c r="K78">
        <v>950.71</v>
      </c>
      <c r="L78">
        <v>75</v>
      </c>
      <c r="M78">
        <v>28.77</v>
      </c>
      <c r="N78">
        <v>175.11</v>
      </c>
      <c r="O78">
        <v>0</v>
      </c>
      <c r="P78" s="5">
        <f>DATE(YEAR(gusto_payroll_bc[[#This Row],[Pay_Date]]),MONTH(gusto_payroll_bc[[#This Row],[Pay_Date]]),1)</f>
        <v>44896</v>
      </c>
      <c r="Q78">
        <f t="shared" si="1"/>
        <v>1356.11</v>
      </c>
    </row>
    <row r="79" spans="1:17" x14ac:dyDescent="0.3">
      <c r="A79">
        <v>2</v>
      </c>
      <c r="B79" t="s">
        <v>1126</v>
      </c>
      <c r="C79" t="s">
        <v>1098</v>
      </c>
      <c r="D79" s="1">
        <v>44918</v>
      </c>
      <c r="E79">
        <v>1390.9</v>
      </c>
      <c r="F79">
        <v>166.91</v>
      </c>
      <c r="G79">
        <v>69.55</v>
      </c>
      <c r="H79">
        <v>82.76</v>
      </c>
      <c r="I79">
        <v>22.67</v>
      </c>
      <c r="J79">
        <v>0</v>
      </c>
      <c r="K79">
        <v>1049.02</v>
      </c>
      <c r="L79">
        <v>82.76</v>
      </c>
      <c r="M79">
        <v>31.74</v>
      </c>
      <c r="N79">
        <v>229.33</v>
      </c>
      <c r="O79">
        <v>0</v>
      </c>
      <c r="P79" s="5">
        <f>DATE(YEAR(gusto_payroll_bc[[#This Row],[Pay_Date]]),MONTH(gusto_payroll_bc[[#This Row],[Pay_Date]]),1)</f>
        <v>44896</v>
      </c>
      <c r="Q79">
        <f t="shared" si="1"/>
        <v>1496.3300000000002</v>
      </c>
    </row>
    <row r="80" spans="1:17" x14ac:dyDescent="0.3">
      <c r="A80">
        <v>2</v>
      </c>
      <c r="B80" t="s">
        <v>1126</v>
      </c>
      <c r="C80" t="s">
        <v>1098</v>
      </c>
      <c r="D80" s="1">
        <v>44932</v>
      </c>
      <c r="E80">
        <v>1387.97</v>
      </c>
      <c r="F80">
        <v>166.56</v>
      </c>
      <c r="G80">
        <v>69.400000000000006</v>
      </c>
      <c r="H80">
        <v>82.58</v>
      </c>
      <c r="I80">
        <v>22.62</v>
      </c>
      <c r="J80">
        <v>0</v>
      </c>
      <c r="K80">
        <v>1046.81</v>
      </c>
      <c r="L80">
        <v>82.58</v>
      </c>
      <c r="M80">
        <v>31.67</v>
      </c>
      <c r="N80">
        <v>261.68</v>
      </c>
      <c r="O80">
        <v>0</v>
      </c>
      <c r="P80" s="5">
        <f>DATE(YEAR(gusto_payroll_bc[[#This Row],[Pay_Date]]),MONTH(gusto_payroll_bc[[#This Row],[Pay_Date]]),1)</f>
        <v>44927</v>
      </c>
      <c r="Q80">
        <f t="shared" si="1"/>
        <v>1493.1699999999998</v>
      </c>
    </row>
    <row r="81" spans="1:17" x14ac:dyDescent="0.3">
      <c r="A81">
        <v>2</v>
      </c>
      <c r="B81" t="s">
        <v>1126</v>
      </c>
      <c r="C81" t="s">
        <v>1098</v>
      </c>
      <c r="D81" s="1">
        <v>44946</v>
      </c>
      <c r="E81">
        <v>1357.06</v>
      </c>
      <c r="F81">
        <v>162.85</v>
      </c>
      <c r="G81">
        <v>67.849999999999994</v>
      </c>
      <c r="H81">
        <v>80.75</v>
      </c>
      <c r="I81">
        <v>22.12</v>
      </c>
      <c r="J81">
        <v>0</v>
      </c>
      <c r="K81">
        <v>1023.5</v>
      </c>
      <c r="L81">
        <v>80.75</v>
      </c>
      <c r="M81">
        <v>30.97</v>
      </c>
      <c r="N81">
        <v>212.13</v>
      </c>
      <c r="O81">
        <v>0</v>
      </c>
      <c r="P81" s="5">
        <f>DATE(YEAR(gusto_payroll_bc[[#This Row],[Pay_Date]]),MONTH(gusto_payroll_bc[[#This Row],[Pay_Date]]),1)</f>
        <v>44927</v>
      </c>
      <c r="Q81">
        <f t="shared" si="1"/>
        <v>1459.9299999999998</v>
      </c>
    </row>
    <row r="82" spans="1:17" x14ac:dyDescent="0.3">
      <c r="A82">
        <v>2</v>
      </c>
      <c r="B82" t="s">
        <v>1126</v>
      </c>
      <c r="C82" t="s">
        <v>1098</v>
      </c>
      <c r="D82" s="1">
        <v>44960</v>
      </c>
      <c r="E82">
        <v>1312.71</v>
      </c>
      <c r="F82">
        <v>157.53</v>
      </c>
      <c r="G82">
        <v>65.64</v>
      </c>
      <c r="H82">
        <v>78.11</v>
      </c>
      <c r="I82">
        <v>21.4</v>
      </c>
      <c r="J82">
        <v>0</v>
      </c>
      <c r="K82">
        <v>990.05</v>
      </c>
      <c r="L82">
        <v>78.11</v>
      </c>
      <c r="M82">
        <v>29.96</v>
      </c>
      <c r="N82">
        <v>235.27</v>
      </c>
      <c r="O82">
        <v>0</v>
      </c>
      <c r="P82" s="5">
        <f>DATE(YEAR(gusto_payroll_bc[[#This Row],[Pay_Date]]),MONTH(gusto_payroll_bc[[#This Row],[Pay_Date]]),1)</f>
        <v>44958</v>
      </c>
      <c r="Q82">
        <f t="shared" si="1"/>
        <v>1412.22</v>
      </c>
    </row>
    <row r="83" spans="1:17" x14ac:dyDescent="0.3">
      <c r="A83">
        <v>2</v>
      </c>
      <c r="B83" t="s">
        <v>1126</v>
      </c>
      <c r="C83" t="s">
        <v>1098</v>
      </c>
      <c r="D83" s="1">
        <v>44974</v>
      </c>
      <c r="E83">
        <v>1291.73</v>
      </c>
      <c r="F83">
        <v>155.01</v>
      </c>
      <c r="G83">
        <v>64.59</v>
      </c>
      <c r="H83">
        <v>76.86</v>
      </c>
      <c r="I83">
        <v>21.06</v>
      </c>
      <c r="J83">
        <v>0</v>
      </c>
      <c r="K83">
        <v>974.22</v>
      </c>
      <c r="L83">
        <v>76.86</v>
      </c>
      <c r="M83">
        <v>29.48</v>
      </c>
      <c r="N83">
        <v>191.2</v>
      </c>
      <c r="O83">
        <v>0</v>
      </c>
      <c r="P83" s="5">
        <f>DATE(YEAR(gusto_payroll_bc[[#This Row],[Pay_Date]]),MONTH(gusto_payroll_bc[[#This Row],[Pay_Date]]),1)</f>
        <v>44958</v>
      </c>
      <c r="Q83">
        <f t="shared" si="1"/>
        <v>1389.6499999999999</v>
      </c>
    </row>
    <row r="84" spans="1:17" x14ac:dyDescent="0.3">
      <c r="A84">
        <v>2</v>
      </c>
      <c r="B84" t="s">
        <v>1126</v>
      </c>
      <c r="C84" t="s">
        <v>1098</v>
      </c>
      <c r="D84" s="1">
        <v>44988</v>
      </c>
      <c r="E84">
        <v>1234.6300000000001</v>
      </c>
      <c r="F84">
        <v>148.16</v>
      </c>
      <c r="G84">
        <v>61.73</v>
      </c>
      <c r="H84">
        <v>73.459999999999994</v>
      </c>
      <c r="I84">
        <v>20.12</v>
      </c>
      <c r="J84">
        <v>0</v>
      </c>
      <c r="K84">
        <v>931.16</v>
      </c>
      <c r="L84">
        <v>73.459999999999994</v>
      </c>
      <c r="M84">
        <v>28.17</v>
      </c>
      <c r="N84">
        <v>219.85</v>
      </c>
      <c r="O84">
        <v>0</v>
      </c>
      <c r="P84" s="5">
        <f>DATE(YEAR(gusto_payroll_bc[[#This Row],[Pay_Date]]),MONTH(gusto_payroll_bc[[#This Row],[Pay_Date]]),1)</f>
        <v>44986</v>
      </c>
      <c r="Q84">
        <f t="shared" si="1"/>
        <v>1328.21</v>
      </c>
    </row>
    <row r="85" spans="1:17" x14ac:dyDescent="0.3">
      <c r="A85">
        <v>2</v>
      </c>
      <c r="B85" t="s">
        <v>1126</v>
      </c>
      <c r="C85" t="s">
        <v>1098</v>
      </c>
      <c r="D85" s="1">
        <v>45002</v>
      </c>
      <c r="E85">
        <v>1333.74</v>
      </c>
      <c r="F85">
        <v>160.05000000000001</v>
      </c>
      <c r="G85">
        <v>66.69</v>
      </c>
      <c r="H85">
        <v>79.36</v>
      </c>
      <c r="I85">
        <v>21.74</v>
      </c>
      <c r="J85">
        <v>0</v>
      </c>
      <c r="K85">
        <v>1005.91</v>
      </c>
      <c r="L85">
        <v>79.36</v>
      </c>
      <c r="M85">
        <v>30.44</v>
      </c>
      <c r="N85">
        <v>220.45</v>
      </c>
      <c r="O85">
        <v>0</v>
      </c>
      <c r="P85" s="5">
        <f>DATE(YEAR(gusto_payroll_bc[[#This Row],[Pay_Date]]),MONTH(gusto_payroll_bc[[#This Row],[Pay_Date]]),1)</f>
        <v>44986</v>
      </c>
      <c r="Q85">
        <f t="shared" si="1"/>
        <v>1434.84</v>
      </c>
    </row>
    <row r="86" spans="1:17" x14ac:dyDescent="0.3">
      <c r="A86">
        <v>2</v>
      </c>
      <c r="B86" t="s">
        <v>1126</v>
      </c>
      <c r="C86" t="s">
        <v>1098</v>
      </c>
      <c r="D86" s="1">
        <v>45016</v>
      </c>
      <c r="E86">
        <v>1330.39</v>
      </c>
      <c r="F86">
        <v>159.65</v>
      </c>
      <c r="G86">
        <v>66.52</v>
      </c>
      <c r="H86">
        <v>79.16</v>
      </c>
      <c r="I86">
        <v>21.69</v>
      </c>
      <c r="J86">
        <v>0</v>
      </c>
      <c r="K86">
        <v>1003.38</v>
      </c>
      <c r="L86">
        <v>79.16</v>
      </c>
      <c r="M86">
        <v>30.36</v>
      </c>
      <c r="N86">
        <v>210.31</v>
      </c>
      <c r="O86">
        <v>0</v>
      </c>
      <c r="P86" s="5">
        <f>DATE(YEAR(gusto_payroll_bc[[#This Row],[Pay_Date]]),MONTH(gusto_payroll_bc[[#This Row],[Pay_Date]]),1)</f>
        <v>44986</v>
      </c>
      <c r="Q86">
        <f t="shared" si="1"/>
        <v>1431.2400000000002</v>
      </c>
    </row>
    <row r="87" spans="1:17" x14ac:dyDescent="0.3">
      <c r="A87">
        <v>2</v>
      </c>
      <c r="B87" t="s">
        <v>1126</v>
      </c>
      <c r="C87" t="s">
        <v>1098</v>
      </c>
      <c r="D87" s="1">
        <v>45030</v>
      </c>
      <c r="E87">
        <v>1235.33</v>
      </c>
      <c r="F87">
        <v>148.24</v>
      </c>
      <c r="G87">
        <v>61.77</v>
      </c>
      <c r="H87">
        <v>73.5</v>
      </c>
      <c r="I87">
        <v>20.14</v>
      </c>
      <c r="J87">
        <v>0</v>
      </c>
      <c r="K87">
        <v>931.69</v>
      </c>
      <c r="L87">
        <v>73.5</v>
      </c>
      <c r="M87">
        <v>28.19</v>
      </c>
      <c r="N87">
        <v>203.71</v>
      </c>
      <c r="O87">
        <v>0</v>
      </c>
      <c r="P87" s="5">
        <f>DATE(YEAR(gusto_payroll_bc[[#This Row],[Pay_Date]]),MONTH(gusto_payroll_bc[[#This Row],[Pay_Date]]),1)</f>
        <v>45017</v>
      </c>
      <c r="Q87">
        <f t="shared" si="1"/>
        <v>1328.97</v>
      </c>
    </row>
    <row r="88" spans="1:17" x14ac:dyDescent="0.3">
      <c r="A88">
        <v>2</v>
      </c>
      <c r="B88" t="s">
        <v>1126</v>
      </c>
      <c r="C88" t="s">
        <v>1098</v>
      </c>
      <c r="D88" s="1">
        <v>45044</v>
      </c>
      <c r="E88">
        <v>1242.8900000000001</v>
      </c>
      <c r="F88">
        <v>149.15</v>
      </c>
      <c r="G88">
        <v>62.14</v>
      </c>
      <c r="H88">
        <v>73.95</v>
      </c>
      <c r="I88">
        <v>20.260000000000002</v>
      </c>
      <c r="J88">
        <v>0</v>
      </c>
      <c r="K88">
        <v>937.39</v>
      </c>
      <c r="L88">
        <v>73.95</v>
      </c>
      <c r="M88">
        <v>28.36</v>
      </c>
      <c r="N88">
        <v>171.12</v>
      </c>
      <c r="O88">
        <v>0</v>
      </c>
      <c r="P88" s="5">
        <f>DATE(YEAR(gusto_payroll_bc[[#This Row],[Pay_Date]]),MONTH(gusto_payroll_bc[[#This Row],[Pay_Date]]),1)</f>
        <v>45017</v>
      </c>
      <c r="Q88">
        <f t="shared" si="1"/>
        <v>1337.1000000000001</v>
      </c>
    </row>
    <row r="89" spans="1:17" x14ac:dyDescent="0.3">
      <c r="A89">
        <v>2</v>
      </c>
      <c r="B89" t="s">
        <v>1126</v>
      </c>
      <c r="C89" t="s">
        <v>1098</v>
      </c>
      <c r="D89" s="1">
        <v>45058</v>
      </c>
      <c r="E89">
        <v>1259.81</v>
      </c>
      <c r="F89">
        <v>151.18</v>
      </c>
      <c r="G89">
        <v>62.99</v>
      </c>
      <c r="H89">
        <v>74.959999999999994</v>
      </c>
      <c r="I89">
        <v>20.53</v>
      </c>
      <c r="J89">
        <v>0</v>
      </c>
      <c r="K89">
        <v>950.15</v>
      </c>
      <c r="L89">
        <v>74.959999999999994</v>
      </c>
      <c r="M89">
        <v>28.75</v>
      </c>
      <c r="N89">
        <v>180.43</v>
      </c>
      <c r="O89">
        <v>0</v>
      </c>
      <c r="P89" s="5">
        <f>DATE(YEAR(gusto_payroll_bc[[#This Row],[Pay_Date]]),MONTH(gusto_payroll_bc[[#This Row],[Pay_Date]]),1)</f>
        <v>45047</v>
      </c>
      <c r="Q89">
        <f t="shared" si="1"/>
        <v>1355.3</v>
      </c>
    </row>
    <row r="90" spans="1:17" x14ac:dyDescent="0.3">
      <c r="A90">
        <v>2</v>
      </c>
      <c r="B90" t="s">
        <v>1126</v>
      </c>
      <c r="C90" t="s">
        <v>1098</v>
      </c>
      <c r="D90" s="1">
        <v>45072</v>
      </c>
      <c r="E90">
        <v>1263.4000000000001</v>
      </c>
      <c r="F90">
        <v>151.61000000000001</v>
      </c>
      <c r="G90">
        <v>63.17</v>
      </c>
      <c r="H90">
        <v>75.17</v>
      </c>
      <c r="I90">
        <v>20.59</v>
      </c>
      <c r="J90">
        <v>0</v>
      </c>
      <c r="K90">
        <v>952.86</v>
      </c>
      <c r="L90">
        <v>75.17</v>
      </c>
      <c r="M90">
        <v>28.83</v>
      </c>
      <c r="N90">
        <v>186.2</v>
      </c>
      <c r="O90">
        <v>0</v>
      </c>
      <c r="P90" s="5">
        <f>DATE(YEAR(gusto_payroll_bc[[#This Row],[Pay_Date]]),MONTH(gusto_payroll_bc[[#This Row],[Pay_Date]]),1)</f>
        <v>45047</v>
      </c>
      <c r="Q90">
        <f t="shared" si="1"/>
        <v>1359.16</v>
      </c>
    </row>
    <row r="91" spans="1:17" x14ac:dyDescent="0.3">
      <c r="A91">
        <v>2</v>
      </c>
      <c r="B91" t="s">
        <v>1126</v>
      </c>
      <c r="C91" t="s">
        <v>1098</v>
      </c>
      <c r="D91" s="1">
        <v>45086</v>
      </c>
      <c r="E91">
        <v>1375.93</v>
      </c>
      <c r="F91">
        <v>165.11</v>
      </c>
      <c r="G91">
        <v>68.8</v>
      </c>
      <c r="H91">
        <v>81.87</v>
      </c>
      <c r="I91">
        <v>22.43</v>
      </c>
      <c r="J91">
        <v>0</v>
      </c>
      <c r="K91">
        <v>1037.72</v>
      </c>
      <c r="L91">
        <v>81.87</v>
      </c>
      <c r="M91">
        <v>31.4</v>
      </c>
      <c r="N91">
        <v>284.5</v>
      </c>
      <c r="O91">
        <v>0</v>
      </c>
      <c r="P91" s="5">
        <f>DATE(YEAR(gusto_payroll_bc[[#This Row],[Pay_Date]]),MONTH(gusto_payroll_bc[[#This Row],[Pay_Date]]),1)</f>
        <v>45078</v>
      </c>
      <c r="Q91">
        <f t="shared" si="1"/>
        <v>1480.2300000000002</v>
      </c>
    </row>
    <row r="92" spans="1:17" x14ac:dyDescent="0.3">
      <c r="A92">
        <v>2</v>
      </c>
      <c r="B92" t="s">
        <v>1126</v>
      </c>
      <c r="C92" t="s">
        <v>1098</v>
      </c>
      <c r="D92" s="1">
        <v>45100</v>
      </c>
      <c r="E92">
        <v>1324.6</v>
      </c>
      <c r="F92">
        <v>158.94999999999999</v>
      </c>
      <c r="G92">
        <v>66.23</v>
      </c>
      <c r="H92">
        <v>78.81</v>
      </c>
      <c r="I92">
        <v>21.59</v>
      </c>
      <c r="J92">
        <v>0</v>
      </c>
      <c r="K92">
        <v>999.01</v>
      </c>
      <c r="L92">
        <v>78.81</v>
      </c>
      <c r="M92">
        <v>30.23</v>
      </c>
      <c r="N92">
        <v>240.29</v>
      </c>
      <c r="O92">
        <v>0</v>
      </c>
      <c r="P92" s="5">
        <f>DATE(YEAR(gusto_payroll_bc[[#This Row],[Pay_Date]]),MONTH(gusto_payroll_bc[[#This Row],[Pay_Date]]),1)</f>
        <v>45078</v>
      </c>
      <c r="Q92">
        <f t="shared" si="1"/>
        <v>1424.9999999999998</v>
      </c>
    </row>
    <row r="93" spans="1:17" x14ac:dyDescent="0.3">
      <c r="A93">
        <v>2</v>
      </c>
      <c r="B93" t="s">
        <v>1126</v>
      </c>
      <c r="C93" t="s">
        <v>1098</v>
      </c>
      <c r="D93" s="1">
        <v>45114</v>
      </c>
      <c r="E93">
        <v>1299.8800000000001</v>
      </c>
      <c r="F93">
        <v>155.99</v>
      </c>
      <c r="G93">
        <v>64.989999999999995</v>
      </c>
      <c r="H93">
        <v>77.34</v>
      </c>
      <c r="I93">
        <v>21.19</v>
      </c>
      <c r="J93">
        <v>0</v>
      </c>
      <c r="K93">
        <v>980.37</v>
      </c>
      <c r="L93">
        <v>77.34</v>
      </c>
      <c r="M93">
        <v>29.66</v>
      </c>
      <c r="N93">
        <v>216.86</v>
      </c>
      <c r="O93">
        <v>0</v>
      </c>
      <c r="P93" s="5">
        <f>DATE(YEAR(gusto_payroll_bc[[#This Row],[Pay_Date]]),MONTH(gusto_payroll_bc[[#This Row],[Pay_Date]]),1)</f>
        <v>45108</v>
      </c>
      <c r="Q93">
        <f t="shared" si="1"/>
        <v>1398.41</v>
      </c>
    </row>
    <row r="94" spans="1:17" x14ac:dyDescent="0.3">
      <c r="A94">
        <v>2</v>
      </c>
      <c r="B94" t="s">
        <v>1126</v>
      </c>
      <c r="C94" t="s">
        <v>1098</v>
      </c>
      <c r="D94" s="1">
        <v>45128</v>
      </c>
      <c r="E94">
        <v>1354.99</v>
      </c>
      <c r="F94">
        <v>162.6</v>
      </c>
      <c r="G94">
        <v>67.75</v>
      </c>
      <c r="H94">
        <v>80.62</v>
      </c>
      <c r="I94">
        <v>22.09</v>
      </c>
      <c r="J94">
        <v>0</v>
      </c>
      <c r="K94">
        <v>1021.93</v>
      </c>
      <c r="L94">
        <v>80.62</v>
      </c>
      <c r="M94">
        <v>30.92</v>
      </c>
      <c r="N94">
        <v>238.66</v>
      </c>
      <c r="O94">
        <v>0</v>
      </c>
      <c r="P94" s="5">
        <f>DATE(YEAR(gusto_payroll_bc[[#This Row],[Pay_Date]]),MONTH(gusto_payroll_bc[[#This Row],[Pay_Date]]),1)</f>
        <v>45108</v>
      </c>
      <c r="Q94">
        <f t="shared" si="1"/>
        <v>1457.7</v>
      </c>
    </row>
    <row r="95" spans="1:17" x14ac:dyDescent="0.3">
      <c r="A95">
        <v>2</v>
      </c>
      <c r="B95" t="s">
        <v>1126</v>
      </c>
      <c r="C95" t="s">
        <v>1098</v>
      </c>
      <c r="D95" s="1">
        <v>45142</v>
      </c>
      <c r="E95">
        <v>1246.95</v>
      </c>
      <c r="F95">
        <v>149.63</v>
      </c>
      <c r="G95">
        <v>62.35</v>
      </c>
      <c r="H95">
        <v>74.19</v>
      </c>
      <c r="I95">
        <v>20.329999999999998</v>
      </c>
      <c r="J95">
        <v>0</v>
      </c>
      <c r="K95">
        <v>940.45</v>
      </c>
      <c r="L95">
        <v>74.19</v>
      </c>
      <c r="M95">
        <v>28.46</v>
      </c>
      <c r="N95">
        <v>170.63</v>
      </c>
      <c r="O95">
        <v>0</v>
      </c>
      <c r="P95" s="5">
        <f>DATE(YEAR(gusto_payroll_bc[[#This Row],[Pay_Date]]),MONTH(gusto_payroll_bc[[#This Row],[Pay_Date]]),1)</f>
        <v>45139</v>
      </c>
      <c r="Q95">
        <f t="shared" si="1"/>
        <v>1341.47</v>
      </c>
    </row>
    <row r="96" spans="1:17" x14ac:dyDescent="0.3">
      <c r="A96">
        <v>2</v>
      </c>
      <c r="B96" t="s">
        <v>1126</v>
      </c>
      <c r="C96" t="s">
        <v>1098</v>
      </c>
      <c r="D96" s="1">
        <v>45156</v>
      </c>
      <c r="E96">
        <v>1225.3699999999999</v>
      </c>
      <c r="F96">
        <v>147.04</v>
      </c>
      <c r="G96">
        <v>61.27</v>
      </c>
      <c r="H96">
        <v>72.91</v>
      </c>
      <c r="I96">
        <v>19.97</v>
      </c>
      <c r="J96">
        <v>0</v>
      </c>
      <c r="K96">
        <v>924.17</v>
      </c>
      <c r="L96">
        <v>72.91</v>
      </c>
      <c r="M96">
        <v>27.96</v>
      </c>
      <c r="N96">
        <v>183.16</v>
      </c>
      <c r="O96">
        <v>0</v>
      </c>
      <c r="P96" s="5">
        <f>DATE(YEAR(gusto_payroll_bc[[#This Row],[Pay_Date]]),MONTH(gusto_payroll_bc[[#This Row],[Pay_Date]]),1)</f>
        <v>45139</v>
      </c>
      <c r="Q96">
        <f t="shared" si="1"/>
        <v>1318.25</v>
      </c>
    </row>
    <row r="97" spans="1:17" x14ac:dyDescent="0.3">
      <c r="A97">
        <v>2</v>
      </c>
      <c r="B97" t="s">
        <v>1126</v>
      </c>
      <c r="C97" t="s">
        <v>1098</v>
      </c>
      <c r="D97" s="1">
        <v>45170</v>
      </c>
      <c r="E97">
        <v>1320.98</v>
      </c>
      <c r="F97">
        <v>158.52000000000001</v>
      </c>
      <c r="G97">
        <v>66.05</v>
      </c>
      <c r="H97">
        <v>78.599999999999994</v>
      </c>
      <c r="I97">
        <v>21.53</v>
      </c>
      <c r="J97">
        <v>0</v>
      </c>
      <c r="K97">
        <v>996.29</v>
      </c>
      <c r="L97">
        <v>78.599999999999994</v>
      </c>
      <c r="M97">
        <v>30.14</v>
      </c>
      <c r="N97">
        <v>213.85</v>
      </c>
      <c r="O97">
        <v>0</v>
      </c>
      <c r="P97" s="5">
        <f>DATE(YEAR(gusto_payroll_bc[[#This Row],[Pay_Date]]),MONTH(gusto_payroll_bc[[#This Row],[Pay_Date]]),1)</f>
        <v>45170</v>
      </c>
      <c r="Q97">
        <f t="shared" si="1"/>
        <v>1421.11</v>
      </c>
    </row>
    <row r="98" spans="1:17" x14ac:dyDescent="0.3">
      <c r="A98">
        <v>2</v>
      </c>
      <c r="B98" t="s">
        <v>1126</v>
      </c>
      <c r="C98" t="s">
        <v>1098</v>
      </c>
      <c r="D98" s="1">
        <v>45184</v>
      </c>
      <c r="E98">
        <v>1235.73</v>
      </c>
      <c r="F98">
        <v>148.29</v>
      </c>
      <c r="G98">
        <v>61.79</v>
      </c>
      <c r="H98">
        <v>73.53</v>
      </c>
      <c r="I98">
        <v>20.14</v>
      </c>
      <c r="J98">
        <v>0</v>
      </c>
      <c r="K98">
        <v>931.99</v>
      </c>
      <c r="L98">
        <v>73.53</v>
      </c>
      <c r="M98">
        <v>28.2</v>
      </c>
      <c r="N98">
        <v>240.84</v>
      </c>
      <c r="O98">
        <v>0</v>
      </c>
      <c r="P98" s="5">
        <f>DATE(YEAR(gusto_payroll_bc[[#This Row],[Pay_Date]]),MONTH(gusto_payroll_bc[[#This Row],[Pay_Date]]),1)</f>
        <v>45170</v>
      </c>
      <c r="Q98">
        <f t="shared" si="1"/>
        <v>1329.4</v>
      </c>
    </row>
    <row r="99" spans="1:17" x14ac:dyDescent="0.3">
      <c r="A99">
        <v>2</v>
      </c>
      <c r="B99" t="s">
        <v>1126</v>
      </c>
      <c r="C99" t="s">
        <v>1098</v>
      </c>
      <c r="D99" s="1">
        <v>45198</v>
      </c>
      <c r="E99">
        <v>1355.23</v>
      </c>
      <c r="F99">
        <v>162.63</v>
      </c>
      <c r="G99">
        <v>67.760000000000005</v>
      </c>
      <c r="H99">
        <v>80.64</v>
      </c>
      <c r="I99">
        <v>22.09</v>
      </c>
      <c r="J99">
        <v>0</v>
      </c>
      <c r="K99">
        <v>1022.12</v>
      </c>
      <c r="L99">
        <v>80.64</v>
      </c>
      <c r="M99">
        <v>30.93</v>
      </c>
      <c r="N99">
        <v>196.24</v>
      </c>
      <c r="O99">
        <v>0</v>
      </c>
      <c r="P99" s="5">
        <f>DATE(YEAR(gusto_payroll_bc[[#This Row],[Pay_Date]]),MONTH(gusto_payroll_bc[[#This Row],[Pay_Date]]),1)</f>
        <v>45170</v>
      </c>
      <c r="Q99">
        <f t="shared" si="1"/>
        <v>1457.96</v>
      </c>
    </row>
    <row r="100" spans="1:17" x14ac:dyDescent="0.3">
      <c r="A100">
        <v>2</v>
      </c>
      <c r="B100" t="s">
        <v>1126</v>
      </c>
      <c r="C100" t="s">
        <v>1098</v>
      </c>
      <c r="D100" s="1">
        <v>45212</v>
      </c>
      <c r="E100">
        <v>1342.88</v>
      </c>
      <c r="F100">
        <v>161.15</v>
      </c>
      <c r="G100">
        <v>67.14</v>
      </c>
      <c r="H100">
        <v>79.900000000000006</v>
      </c>
      <c r="I100">
        <v>21.89</v>
      </c>
      <c r="J100">
        <v>0</v>
      </c>
      <c r="K100">
        <v>1012.8</v>
      </c>
      <c r="L100">
        <v>79.900000000000006</v>
      </c>
      <c r="M100">
        <v>30.64</v>
      </c>
      <c r="N100">
        <v>195.7</v>
      </c>
      <c r="O100">
        <v>0</v>
      </c>
      <c r="P100" s="5">
        <f>DATE(YEAR(gusto_payroll_bc[[#This Row],[Pay_Date]]),MONTH(gusto_payroll_bc[[#This Row],[Pay_Date]]),1)</f>
        <v>45200</v>
      </c>
      <c r="Q100">
        <f t="shared" si="1"/>
        <v>1444.6700000000003</v>
      </c>
    </row>
    <row r="101" spans="1:17" x14ac:dyDescent="0.3">
      <c r="A101">
        <v>2</v>
      </c>
      <c r="B101" t="s">
        <v>1126</v>
      </c>
      <c r="C101" t="s">
        <v>1098</v>
      </c>
      <c r="D101" s="1">
        <v>45226</v>
      </c>
      <c r="E101">
        <v>1359.23</v>
      </c>
      <c r="F101">
        <v>163.11000000000001</v>
      </c>
      <c r="G101">
        <v>67.959999999999994</v>
      </c>
      <c r="H101">
        <v>80.87</v>
      </c>
      <c r="I101">
        <v>22.16</v>
      </c>
      <c r="J101">
        <v>0</v>
      </c>
      <c r="K101">
        <v>1025.1300000000001</v>
      </c>
      <c r="L101">
        <v>80.87</v>
      </c>
      <c r="M101">
        <v>31.02</v>
      </c>
      <c r="N101">
        <v>169.93</v>
      </c>
      <c r="O101">
        <v>0</v>
      </c>
      <c r="P101" s="5">
        <f>DATE(YEAR(gusto_payroll_bc[[#This Row],[Pay_Date]]),MONTH(gusto_payroll_bc[[#This Row],[Pay_Date]]),1)</f>
        <v>45200</v>
      </c>
      <c r="Q101">
        <f t="shared" si="1"/>
        <v>1462.26</v>
      </c>
    </row>
    <row r="102" spans="1:17" x14ac:dyDescent="0.3">
      <c r="A102">
        <v>2</v>
      </c>
      <c r="B102" t="s">
        <v>1126</v>
      </c>
      <c r="C102" t="s">
        <v>1098</v>
      </c>
      <c r="D102" s="1">
        <v>45240</v>
      </c>
      <c r="E102">
        <v>1355.47</v>
      </c>
      <c r="F102">
        <v>162.66</v>
      </c>
      <c r="G102">
        <v>67.77</v>
      </c>
      <c r="H102">
        <v>80.650000000000006</v>
      </c>
      <c r="I102">
        <v>22.09</v>
      </c>
      <c r="J102">
        <v>0</v>
      </c>
      <c r="K102">
        <v>1022.3</v>
      </c>
      <c r="L102">
        <v>80.650000000000006</v>
      </c>
      <c r="M102">
        <v>30.93</v>
      </c>
      <c r="N102">
        <v>221.67</v>
      </c>
      <c r="O102">
        <v>0</v>
      </c>
      <c r="P102" s="5">
        <f>DATE(YEAR(gusto_payroll_bc[[#This Row],[Pay_Date]]),MONTH(gusto_payroll_bc[[#This Row],[Pay_Date]]),1)</f>
        <v>45231</v>
      </c>
      <c r="Q102">
        <f t="shared" si="1"/>
        <v>1458.21</v>
      </c>
    </row>
    <row r="103" spans="1:17" x14ac:dyDescent="0.3">
      <c r="A103">
        <v>2</v>
      </c>
      <c r="B103" t="s">
        <v>1126</v>
      </c>
      <c r="C103" t="s">
        <v>1098</v>
      </c>
      <c r="D103" s="1">
        <v>45254</v>
      </c>
      <c r="E103">
        <v>1316.34</v>
      </c>
      <c r="F103">
        <v>157.96</v>
      </c>
      <c r="G103">
        <v>65.819999999999993</v>
      </c>
      <c r="H103">
        <v>78.319999999999993</v>
      </c>
      <c r="I103">
        <v>21.46</v>
      </c>
      <c r="J103">
        <v>0</v>
      </c>
      <c r="K103">
        <v>992.78</v>
      </c>
      <c r="L103">
        <v>78.319999999999993</v>
      </c>
      <c r="M103">
        <v>30.04</v>
      </c>
      <c r="N103">
        <v>201.01</v>
      </c>
      <c r="O103">
        <v>0</v>
      </c>
      <c r="P103" s="5">
        <f>DATE(YEAR(gusto_payroll_bc[[#This Row],[Pay_Date]]),MONTH(gusto_payroll_bc[[#This Row],[Pay_Date]]),1)</f>
        <v>45231</v>
      </c>
      <c r="Q103">
        <f t="shared" si="1"/>
        <v>1416.12</v>
      </c>
    </row>
    <row r="104" spans="1:17" x14ac:dyDescent="0.3">
      <c r="A104">
        <v>2</v>
      </c>
      <c r="B104" t="s">
        <v>1126</v>
      </c>
      <c r="C104" t="s">
        <v>1098</v>
      </c>
      <c r="D104" s="1">
        <v>45268</v>
      </c>
      <c r="E104">
        <v>1321.48</v>
      </c>
      <c r="F104">
        <v>158.58000000000001</v>
      </c>
      <c r="G104">
        <v>66.069999999999993</v>
      </c>
      <c r="H104">
        <v>78.63</v>
      </c>
      <c r="I104">
        <v>21.54</v>
      </c>
      <c r="J104">
        <v>0</v>
      </c>
      <c r="K104">
        <v>996.66</v>
      </c>
      <c r="L104">
        <v>78.63</v>
      </c>
      <c r="M104">
        <v>30.16</v>
      </c>
      <c r="N104">
        <v>228.51</v>
      </c>
      <c r="O104">
        <v>0</v>
      </c>
      <c r="P104" s="5">
        <f>DATE(YEAR(gusto_payroll_bc[[#This Row],[Pay_Date]]),MONTH(gusto_payroll_bc[[#This Row],[Pay_Date]]),1)</f>
        <v>45261</v>
      </c>
      <c r="Q104">
        <f t="shared" si="1"/>
        <v>1421.65</v>
      </c>
    </row>
    <row r="105" spans="1:17" x14ac:dyDescent="0.3">
      <c r="A105">
        <v>2</v>
      </c>
      <c r="B105" t="s">
        <v>1126</v>
      </c>
      <c r="C105" t="s">
        <v>1098</v>
      </c>
      <c r="D105" s="1">
        <v>45282</v>
      </c>
      <c r="E105">
        <v>1328.76</v>
      </c>
      <c r="F105">
        <v>159.44999999999999</v>
      </c>
      <c r="G105">
        <v>66.44</v>
      </c>
      <c r="H105">
        <v>79.06</v>
      </c>
      <c r="I105">
        <v>21.66</v>
      </c>
      <c r="J105">
        <v>0</v>
      </c>
      <c r="K105">
        <v>1002.15</v>
      </c>
      <c r="L105">
        <v>79.06</v>
      </c>
      <c r="M105">
        <v>30.32</v>
      </c>
      <c r="N105">
        <v>214.7</v>
      </c>
      <c r="O105">
        <v>0</v>
      </c>
      <c r="P105" s="5">
        <f>DATE(YEAR(gusto_payroll_bc[[#This Row],[Pay_Date]]),MONTH(gusto_payroll_bc[[#This Row],[Pay_Date]]),1)</f>
        <v>45261</v>
      </c>
      <c r="Q105">
        <f t="shared" si="1"/>
        <v>1429.48</v>
      </c>
    </row>
    <row r="106" spans="1:17" x14ac:dyDescent="0.3">
      <c r="A106">
        <v>3</v>
      </c>
      <c r="B106" t="s">
        <v>1127</v>
      </c>
      <c r="C106" t="s">
        <v>1098</v>
      </c>
      <c r="D106" s="1">
        <v>44568</v>
      </c>
      <c r="E106">
        <v>1243.07</v>
      </c>
      <c r="F106">
        <v>149.16999999999999</v>
      </c>
      <c r="G106">
        <v>62.15</v>
      </c>
      <c r="H106">
        <v>73.959999999999994</v>
      </c>
      <c r="I106">
        <v>20.260000000000002</v>
      </c>
      <c r="J106">
        <v>0</v>
      </c>
      <c r="K106">
        <v>937.53</v>
      </c>
      <c r="L106">
        <v>73.959999999999994</v>
      </c>
      <c r="M106">
        <v>28.37</v>
      </c>
      <c r="N106">
        <v>144.12</v>
      </c>
      <c r="O106">
        <v>0</v>
      </c>
      <c r="P106" s="5">
        <f>DATE(YEAR(gusto_payroll_bc[[#This Row],[Pay_Date]]),MONTH(gusto_payroll_bc[[#This Row],[Pay_Date]]),1)</f>
        <v>44562</v>
      </c>
      <c r="Q106">
        <f t="shared" si="1"/>
        <v>1337.29</v>
      </c>
    </row>
    <row r="107" spans="1:17" x14ac:dyDescent="0.3">
      <c r="A107">
        <v>3</v>
      </c>
      <c r="B107" t="s">
        <v>1127</v>
      </c>
      <c r="C107" t="s">
        <v>1098</v>
      </c>
      <c r="D107" s="1">
        <v>44582</v>
      </c>
      <c r="E107">
        <v>1241.67</v>
      </c>
      <c r="F107">
        <v>149</v>
      </c>
      <c r="G107">
        <v>62.08</v>
      </c>
      <c r="H107">
        <v>73.88</v>
      </c>
      <c r="I107">
        <v>20.239999999999998</v>
      </c>
      <c r="J107">
        <v>0</v>
      </c>
      <c r="K107">
        <v>936.47</v>
      </c>
      <c r="L107">
        <v>73.88</v>
      </c>
      <c r="M107">
        <v>28.33</v>
      </c>
      <c r="N107">
        <v>202.91</v>
      </c>
      <c r="O107">
        <v>0</v>
      </c>
      <c r="P107" s="5">
        <f>DATE(YEAR(gusto_payroll_bc[[#This Row],[Pay_Date]]),MONTH(gusto_payroll_bc[[#This Row],[Pay_Date]]),1)</f>
        <v>44562</v>
      </c>
      <c r="Q107">
        <f t="shared" si="1"/>
        <v>1335.7900000000002</v>
      </c>
    </row>
    <row r="108" spans="1:17" x14ac:dyDescent="0.3">
      <c r="A108">
        <v>3</v>
      </c>
      <c r="B108" t="s">
        <v>1127</v>
      </c>
      <c r="C108" t="s">
        <v>1098</v>
      </c>
      <c r="D108" s="1">
        <v>44596</v>
      </c>
      <c r="E108">
        <v>1294.04</v>
      </c>
      <c r="F108">
        <v>155.28</v>
      </c>
      <c r="G108">
        <v>64.7</v>
      </c>
      <c r="H108">
        <v>77</v>
      </c>
      <c r="I108">
        <v>21.09</v>
      </c>
      <c r="J108">
        <v>0</v>
      </c>
      <c r="K108">
        <v>975.96</v>
      </c>
      <c r="L108">
        <v>77</v>
      </c>
      <c r="M108">
        <v>29.53</v>
      </c>
      <c r="N108">
        <v>141.74</v>
      </c>
      <c r="O108">
        <v>0</v>
      </c>
      <c r="P108" s="5">
        <f>DATE(YEAR(gusto_payroll_bc[[#This Row],[Pay_Date]]),MONTH(gusto_payroll_bc[[#This Row],[Pay_Date]]),1)</f>
        <v>44593</v>
      </c>
      <c r="Q108">
        <f t="shared" si="1"/>
        <v>1392.1299999999999</v>
      </c>
    </row>
    <row r="109" spans="1:17" x14ac:dyDescent="0.3">
      <c r="A109">
        <v>3</v>
      </c>
      <c r="B109" t="s">
        <v>1127</v>
      </c>
      <c r="C109" t="s">
        <v>1098</v>
      </c>
      <c r="D109" s="1">
        <v>44610</v>
      </c>
      <c r="E109">
        <v>1168.22</v>
      </c>
      <c r="F109">
        <v>140.19</v>
      </c>
      <c r="G109">
        <v>58.41</v>
      </c>
      <c r="H109">
        <v>69.510000000000005</v>
      </c>
      <c r="I109">
        <v>19.04</v>
      </c>
      <c r="J109">
        <v>0</v>
      </c>
      <c r="K109">
        <v>881.07</v>
      </c>
      <c r="L109">
        <v>69.510000000000005</v>
      </c>
      <c r="M109">
        <v>26.66</v>
      </c>
      <c r="N109">
        <v>191.95</v>
      </c>
      <c r="O109">
        <v>0</v>
      </c>
      <c r="P109" s="5">
        <f>DATE(YEAR(gusto_payroll_bc[[#This Row],[Pay_Date]]),MONTH(gusto_payroll_bc[[#This Row],[Pay_Date]]),1)</f>
        <v>44593</v>
      </c>
      <c r="Q109">
        <f t="shared" si="1"/>
        <v>1256.77</v>
      </c>
    </row>
    <row r="110" spans="1:17" x14ac:dyDescent="0.3">
      <c r="A110">
        <v>3</v>
      </c>
      <c r="B110" t="s">
        <v>1127</v>
      </c>
      <c r="C110" t="s">
        <v>1098</v>
      </c>
      <c r="D110" s="1">
        <v>44624</v>
      </c>
      <c r="E110">
        <v>1299.76</v>
      </c>
      <c r="F110">
        <v>155.97</v>
      </c>
      <c r="G110">
        <v>64.989999999999995</v>
      </c>
      <c r="H110">
        <v>77.34</v>
      </c>
      <c r="I110">
        <v>21.19</v>
      </c>
      <c r="J110">
        <v>0</v>
      </c>
      <c r="K110">
        <v>980.28</v>
      </c>
      <c r="L110">
        <v>77.34</v>
      </c>
      <c r="M110">
        <v>29.66</v>
      </c>
      <c r="N110">
        <v>223.38</v>
      </c>
      <c r="O110">
        <v>0</v>
      </c>
      <c r="P110" s="5">
        <f>DATE(YEAR(gusto_payroll_bc[[#This Row],[Pay_Date]]),MONTH(gusto_payroll_bc[[#This Row],[Pay_Date]]),1)</f>
        <v>44621</v>
      </c>
      <c r="Q110">
        <f t="shared" si="1"/>
        <v>1398.29</v>
      </c>
    </row>
    <row r="111" spans="1:17" x14ac:dyDescent="0.3">
      <c r="A111">
        <v>3</v>
      </c>
      <c r="B111" t="s">
        <v>1127</v>
      </c>
      <c r="C111" t="s">
        <v>1098</v>
      </c>
      <c r="D111" s="1">
        <v>44638</v>
      </c>
      <c r="E111">
        <v>1245.47</v>
      </c>
      <c r="F111">
        <v>149.46</v>
      </c>
      <c r="G111">
        <v>62.27</v>
      </c>
      <c r="H111">
        <v>74.11</v>
      </c>
      <c r="I111">
        <v>20.3</v>
      </c>
      <c r="J111">
        <v>0</v>
      </c>
      <c r="K111">
        <v>939.33</v>
      </c>
      <c r="L111">
        <v>74.11</v>
      </c>
      <c r="M111">
        <v>28.42</v>
      </c>
      <c r="N111">
        <v>138.11000000000001</v>
      </c>
      <c r="O111">
        <v>0</v>
      </c>
      <c r="P111" s="5">
        <f>DATE(YEAR(gusto_payroll_bc[[#This Row],[Pay_Date]]),MONTH(gusto_payroll_bc[[#This Row],[Pay_Date]]),1)</f>
        <v>44621</v>
      </c>
      <c r="Q111">
        <f t="shared" si="1"/>
        <v>1339.8799999999999</v>
      </c>
    </row>
    <row r="112" spans="1:17" x14ac:dyDescent="0.3">
      <c r="A112">
        <v>3</v>
      </c>
      <c r="B112" t="s">
        <v>1127</v>
      </c>
      <c r="C112" t="s">
        <v>1098</v>
      </c>
      <c r="D112" s="1">
        <v>44652</v>
      </c>
      <c r="E112">
        <v>1251.77</v>
      </c>
      <c r="F112">
        <v>150.21</v>
      </c>
      <c r="G112">
        <v>62.59</v>
      </c>
      <c r="H112">
        <v>74.48</v>
      </c>
      <c r="I112">
        <v>20.399999999999999</v>
      </c>
      <c r="J112">
        <v>0</v>
      </c>
      <c r="K112">
        <v>944.09</v>
      </c>
      <c r="L112">
        <v>74.48</v>
      </c>
      <c r="M112">
        <v>28.57</v>
      </c>
      <c r="N112">
        <v>188.12</v>
      </c>
      <c r="O112">
        <v>0</v>
      </c>
      <c r="P112" s="5">
        <f>DATE(YEAR(gusto_payroll_bc[[#This Row],[Pay_Date]]),MONTH(gusto_payroll_bc[[#This Row],[Pay_Date]]),1)</f>
        <v>44652</v>
      </c>
      <c r="Q112">
        <f t="shared" si="1"/>
        <v>1346.65</v>
      </c>
    </row>
    <row r="113" spans="1:17" x14ac:dyDescent="0.3">
      <c r="A113">
        <v>3</v>
      </c>
      <c r="B113" t="s">
        <v>1127</v>
      </c>
      <c r="C113" t="s">
        <v>1098</v>
      </c>
      <c r="D113" s="1">
        <v>44666</v>
      </c>
      <c r="E113">
        <v>1284.4100000000001</v>
      </c>
      <c r="F113">
        <v>154.13</v>
      </c>
      <c r="G113">
        <v>64.22</v>
      </c>
      <c r="H113">
        <v>76.42</v>
      </c>
      <c r="I113">
        <v>20.94</v>
      </c>
      <c r="J113">
        <v>0</v>
      </c>
      <c r="K113">
        <v>968.7</v>
      </c>
      <c r="L113">
        <v>76.42</v>
      </c>
      <c r="M113">
        <v>29.31</v>
      </c>
      <c r="N113">
        <v>191.34</v>
      </c>
      <c r="O113">
        <v>0</v>
      </c>
      <c r="P113" s="5">
        <f>DATE(YEAR(gusto_payroll_bc[[#This Row],[Pay_Date]]),MONTH(gusto_payroll_bc[[#This Row],[Pay_Date]]),1)</f>
        <v>44652</v>
      </c>
      <c r="Q113">
        <f t="shared" si="1"/>
        <v>1381.7700000000002</v>
      </c>
    </row>
    <row r="114" spans="1:17" x14ac:dyDescent="0.3">
      <c r="A114">
        <v>3</v>
      </c>
      <c r="B114" t="s">
        <v>1127</v>
      </c>
      <c r="C114" t="s">
        <v>1098</v>
      </c>
      <c r="D114" s="1">
        <v>44680</v>
      </c>
      <c r="E114">
        <v>1284.5</v>
      </c>
      <c r="F114">
        <v>154.13999999999999</v>
      </c>
      <c r="G114">
        <v>64.22</v>
      </c>
      <c r="H114">
        <v>76.430000000000007</v>
      </c>
      <c r="I114">
        <v>20.94</v>
      </c>
      <c r="J114">
        <v>0</v>
      </c>
      <c r="K114">
        <v>968.77</v>
      </c>
      <c r="L114">
        <v>76.430000000000007</v>
      </c>
      <c r="M114">
        <v>29.31</v>
      </c>
      <c r="N114">
        <v>218.22</v>
      </c>
      <c r="O114">
        <v>0</v>
      </c>
      <c r="P114" s="5">
        <f>DATE(YEAR(gusto_payroll_bc[[#This Row],[Pay_Date]]),MONTH(gusto_payroll_bc[[#This Row],[Pay_Date]]),1)</f>
        <v>44652</v>
      </c>
      <c r="Q114">
        <f t="shared" si="1"/>
        <v>1381.8700000000001</v>
      </c>
    </row>
    <row r="115" spans="1:17" x14ac:dyDescent="0.3">
      <c r="A115">
        <v>3</v>
      </c>
      <c r="B115" t="s">
        <v>1127</v>
      </c>
      <c r="C115" t="s">
        <v>1098</v>
      </c>
      <c r="D115" s="1">
        <v>44694</v>
      </c>
      <c r="E115">
        <v>1277.53</v>
      </c>
      <c r="F115">
        <v>153.30000000000001</v>
      </c>
      <c r="G115">
        <v>63.88</v>
      </c>
      <c r="H115">
        <v>76.010000000000005</v>
      </c>
      <c r="I115">
        <v>20.82</v>
      </c>
      <c r="J115">
        <v>0</v>
      </c>
      <c r="K115">
        <v>963.51</v>
      </c>
      <c r="L115">
        <v>76.010000000000005</v>
      </c>
      <c r="M115">
        <v>29.15</v>
      </c>
      <c r="N115">
        <v>211.51</v>
      </c>
      <c r="O115">
        <v>0</v>
      </c>
      <c r="P115" s="5">
        <f>DATE(YEAR(gusto_payroll_bc[[#This Row],[Pay_Date]]),MONTH(gusto_payroll_bc[[#This Row],[Pay_Date]]),1)</f>
        <v>44682</v>
      </c>
      <c r="Q115">
        <f t="shared" si="1"/>
        <v>1374.36</v>
      </c>
    </row>
    <row r="116" spans="1:17" x14ac:dyDescent="0.3">
      <c r="A116">
        <v>3</v>
      </c>
      <c r="B116" t="s">
        <v>1127</v>
      </c>
      <c r="C116" t="s">
        <v>1098</v>
      </c>
      <c r="D116" s="1">
        <v>44708</v>
      </c>
      <c r="E116">
        <v>1203.6300000000001</v>
      </c>
      <c r="F116">
        <v>144.44</v>
      </c>
      <c r="G116">
        <v>60.18</v>
      </c>
      <c r="H116">
        <v>71.62</v>
      </c>
      <c r="I116">
        <v>19.62</v>
      </c>
      <c r="J116">
        <v>0</v>
      </c>
      <c r="K116">
        <v>907.78</v>
      </c>
      <c r="L116">
        <v>71.62</v>
      </c>
      <c r="M116">
        <v>27.47</v>
      </c>
      <c r="N116">
        <v>152.94</v>
      </c>
      <c r="O116">
        <v>0</v>
      </c>
      <c r="P116" s="5">
        <f>DATE(YEAR(gusto_payroll_bc[[#This Row],[Pay_Date]]),MONTH(gusto_payroll_bc[[#This Row],[Pay_Date]]),1)</f>
        <v>44682</v>
      </c>
      <c r="Q116">
        <f t="shared" si="1"/>
        <v>1294.8699999999999</v>
      </c>
    </row>
    <row r="117" spans="1:17" x14ac:dyDescent="0.3">
      <c r="A117">
        <v>3</v>
      </c>
      <c r="B117" t="s">
        <v>1127</v>
      </c>
      <c r="C117" t="s">
        <v>1098</v>
      </c>
      <c r="D117" s="1">
        <v>44722</v>
      </c>
      <c r="E117">
        <v>1265.3900000000001</v>
      </c>
      <c r="F117">
        <v>151.85</v>
      </c>
      <c r="G117">
        <v>63.27</v>
      </c>
      <c r="H117">
        <v>75.290000000000006</v>
      </c>
      <c r="I117">
        <v>20.63</v>
      </c>
      <c r="J117">
        <v>0</v>
      </c>
      <c r="K117">
        <v>954.36</v>
      </c>
      <c r="L117">
        <v>75.290000000000006</v>
      </c>
      <c r="M117">
        <v>28.88</v>
      </c>
      <c r="N117">
        <v>186.55</v>
      </c>
      <c r="O117">
        <v>0</v>
      </c>
      <c r="P117" s="5">
        <f>DATE(YEAR(gusto_payroll_bc[[#This Row],[Pay_Date]]),MONTH(gusto_payroll_bc[[#This Row],[Pay_Date]]),1)</f>
        <v>44713</v>
      </c>
      <c r="Q117">
        <f t="shared" si="1"/>
        <v>1361.3100000000002</v>
      </c>
    </row>
    <row r="118" spans="1:17" x14ac:dyDescent="0.3">
      <c r="A118">
        <v>3</v>
      </c>
      <c r="B118" t="s">
        <v>1127</v>
      </c>
      <c r="C118" t="s">
        <v>1098</v>
      </c>
      <c r="D118" s="1">
        <v>44736</v>
      </c>
      <c r="E118">
        <v>1295.5</v>
      </c>
      <c r="F118">
        <v>155.46</v>
      </c>
      <c r="G118">
        <v>64.77</v>
      </c>
      <c r="H118">
        <v>77.08</v>
      </c>
      <c r="I118">
        <v>21.12</v>
      </c>
      <c r="J118">
        <v>0</v>
      </c>
      <c r="K118">
        <v>977.07</v>
      </c>
      <c r="L118">
        <v>77.08</v>
      </c>
      <c r="M118">
        <v>29.56</v>
      </c>
      <c r="N118">
        <v>192.96</v>
      </c>
      <c r="O118">
        <v>0</v>
      </c>
      <c r="P118" s="5">
        <f>DATE(YEAR(gusto_payroll_bc[[#This Row],[Pay_Date]]),MONTH(gusto_payroll_bc[[#This Row],[Pay_Date]]),1)</f>
        <v>44713</v>
      </c>
      <c r="Q118">
        <f t="shared" si="1"/>
        <v>1393.6999999999998</v>
      </c>
    </row>
    <row r="119" spans="1:17" x14ac:dyDescent="0.3">
      <c r="A119">
        <v>3</v>
      </c>
      <c r="B119" t="s">
        <v>1127</v>
      </c>
      <c r="C119" t="s">
        <v>1098</v>
      </c>
      <c r="D119" s="1">
        <v>44750</v>
      </c>
      <c r="E119">
        <v>1253.0999999999999</v>
      </c>
      <c r="F119">
        <v>150.37</v>
      </c>
      <c r="G119">
        <v>62.66</v>
      </c>
      <c r="H119">
        <v>74.56</v>
      </c>
      <c r="I119">
        <v>20.43</v>
      </c>
      <c r="J119">
        <v>0</v>
      </c>
      <c r="K119">
        <v>945.09</v>
      </c>
      <c r="L119">
        <v>74.56</v>
      </c>
      <c r="M119">
        <v>28.6</v>
      </c>
      <c r="N119">
        <v>179.41</v>
      </c>
      <c r="O119">
        <v>0</v>
      </c>
      <c r="P119" s="5">
        <f>DATE(YEAR(gusto_payroll_bc[[#This Row],[Pay_Date]]),MONTH(gusto_payroll_bc[[#This Row],[Pay_Date]]),1)</f>
        <v>44743</v>
      </c>
      <c r="Q119">
        <f t="shared" si="1"/>
        <v>1348.09</v>
      </c>
    </row>
    <row r="120" spans="1:17" x14ac:dyDescent="0.3">
      <c r="A120">
        <v>3</v>
      </c>
      <c r="B120" t="s">
        <v>1127</v>
      </c>
      <c r="C120" t="s">
        <v>1098</v>
      </c>
      <c r="D120" s="1">
        <v>44764</v>
      </c>
      <c r="E120">
        <v>1280.43</v>
      </c>
      <c r="F120">
        <v>153.65</v>
      </c>
      <c r="G120">
        <v>64.02</v>
      </c>
      <c r="H120">
        <v>76.19</v>
      </c>
      <c r="I120">
        <v>20.87</v>
      </c>
      <c r="J120">
        <v>0</v>
      </c>
      <c r="K120">
        <v>965.7</v>
      </c>
      <c r="L120">
        <v>76.19</v>
      </c>
      <c r="M120">
        <v>29.22</v>
      </c>
      <c r="N120">
        <v>163.44999999999999</v>
      </c>
      <c r="O120">
        <v>0</v>
      </c>
      <c r="P120" s="5">
        <f>DATE(YEAR(gusto_payroll_bc[[#This Row],[Pay_Date]]),MONTH(gusto_payroll_bc[[#This Row],[Pay_Date]]),1)</f>
        <v>44743</v>
      </c>
      <c r="Q120">
        <f t="shared" si="1"/>
        <v>1377.49</v>
      </c>
    </row>
    <row r="121" spans="1:17" x14ac:dyDescent="0.3">
      <c r="A121">
        <v>3</v>
      </c>
      <c r="B121" t="s">
        <v>1127</v>
      </c>
      <c r="C121" t="s">
        <v>1098</v>
      </c>
      <c r="D121" s="1">
        <v>44778</v>
      </c>
      <c r="E121">
        <v>1333.41</v>
      </c>
      <c r="F121">
        <v>160.01</v>
      </c>
      <c r="G121">
        <v>66.67</v>
      </c>
      <c r="H121">
        <v>79.34</v>
      </c>
      <c r="I121">
        <v>21.73</v>
      </c>
      <c r="J121">
        <v>0</v>
      </c>
      <c r="K121">
        <v>1005.66</v>
      </c>
      <c r="L121">
        <v>79.34</v>
      </c>
      <c r="M121">
        <v>30.43</v>
      </c>
      <c r="N121">
        <v>193.47</v>
      </c>
      <c r="O121">
        <v>0</v>
      </c>
      <c r="P121" s="5">
        <f>DATE(YEAR(gusto_payroll_bc[[#This Row],[Pay_Date]]),MONTH(gusto_payroll_bc[[#This Row],[Pay_Date]]),1)</f>
        <v>44774</v>
      </c>
      <c r="Q121">
        <f t="shared" si="1"/>
        <v>1434.48</v>
      </c>
    </row>
    <row r="122" spans="1:17" x14ac:dyDescent="0.3">
      <c r="A122">
        <v>3</v>
      </c>
      <c r="B122" t="s">
        <v>1127</v>
      </c>
      <c r="C122" t="s">
        <v>1098</v>
      </c>
      <c r="D122" s="1">
        <v>44792</v>
      </c>
      <c r="E122">
        <v>1309.1600000000001</v>
      </c>
      <c r="F122">
        <v>157.1</v>
      </c>
      <c r="G122">
        <v>65.459999999999994</v>
      </c>
      <c r="H122">
        <v>77.89</v>
      </c>
      <c r="I122">
        <v>21.34</v>
      </c>
      <c r="J122">
        <v>0</v>
      </c>
      <c r="K122">
        <v>987.37</v>
      </c>
      <c r="L122">
        <v>77.89</v>
      </c>
      <c r="M122">
        <v>29.88</v>
      </c>
      <c r="N122">
        <v>158.94999999999999</v>
      </c>
      <c r="O122">
        <v>0</v>
      </c>
      <c r="P122" s="5">
        <f>DATE(YEAR(gusto_payroll_bc[[#This Row],[Pay_Date]]),MONTH(gusto_payroll_bc[[#This Row],[Pay_Date]]),1)</f>
        <v>44774</v>
      </c>
      <c r="Q122">
        <f t="shared" si="1"/>
        <v>1408.39</v>
      </c>
    </row>
    <row r="123" spans="1:17" x14ac:dyDescent="0.3">
      <c r="A123">
        <v>3</v>
      </c>
      <c r="B123" t="s">
        <v>1127</v>
      </c>
      <c r="C123" t="s">
        <v>1098</v>
      </c>
      <c r="D123" s="1">
        <v>44806</v>
      </c>
      <c r="E123">
        <v>1192.05</v>
      </c>
      <c r="F123">
        <v>143.05000000000001</v>
      </c>
      <c r="G123">
        <v>59.6</v>
      </c>
      <c r="H123">
        <v>70.930000000000007</v>
      </c>
      <c r="I123">
        <v>19.43</v>
      </c>
      <c r="J123">
        <v>0</v>
      </c>
      <c r="K123">
        <v>899.04</v>
      </c>
      <c r="L123">
        <v>70.930000000000007</v>
      </c>
      <c r="M123">
        <v>27.2</v>
      </c>
      <c r="N123">
        <v>140.94</v>
      </c>
      <c r="O123">
        <v>0</v>
      </c>
      <c r="P123" s="5">
        <f>DATE(YEAR(gusto_payroll_bc[[#This Row],[Pay_Date]]),MONTH(gusto_payroll_bc[[#This Row],[Pay_Date]]),1)</f>
        <v>44805</v>
      </c>
      <c r="Q123">
        <f t="shared" si="1"/>
        <v>1282.4100000000001</v>
      </c>
    </row>
    <row r="124" spans="1:17" x14ac:dyDescent="0.3">
      <c r="A124">
        <v>3</v>
      </c>
      <c r="B124" t="s">
        <v>1127</v>
      </c>
      <c r="C124" t="s">
        <v>1098</v>
      </c>
      <c r="D124" s="1">
        <v>44820</v>
      </c>
      <c r="E124">
        <v>1296.77</v>
      </c>
      <c r="F124">
        <v>155.61000000000001</v>
      </c>
      <c r="G124">
        <v>64.84</v>
      </c>
      <c r="H124">
        <v>77.16</v>
      </c>
      <c r="I124">
        <v>21.14</v>
      </c>
      <c r="J124">
        <v>0</v>
      </c>
      <c r="K124">
        <v>978.02</v>
      </c>
      <c r="L124">
        <v>77.16</v>
      </c>
      <c r="M124">
        <v>29.59</v>
      </c>
      <c r="N124">
        <v>210.69</v>
      </c>
      <c r="O124">
        <v>0</v>
      </c>
      <c r="P124" s="5">
        <f>DATE(YEAR(gusto_payroll_bc[[#This Row],[Pay_Date]]),MONTH(gusto_payroll_bc[[#This Row],[Pay_Date]]),1)</f>
        <v>44805</v>
      </c>
      <c r="Q124">
        <f t="shared" si="1"/>
        <v>1395.0700000000002</v>
      </c>
    </row>
    <row r="125" spans="1:17" x14ac:dyDescent="0.3">
      <c r="A125">
        <v>3</v>
      </c>
      <c r="B125" t="s">
        <v>1127</v>
      </c>
      <c r="C125" t="s">
        <v>1098</v>
      </c>
      <c r="D125" s="1">
        <v>44834</v>
      </c>
      <c r="E125">
        <v>1271.57</v>
      </c>
      <c r="F125">
        <v>152.59</v>
      </c>
      <c r="G125">
        <v>63.58</v>
      </c>
      <c r="H125">
        <v>75.66</v>
      </c>
      <c r="I125">
        <v>20.73</v>
      </c>
      <c r="J125">
        <v>0</v>
      </c>
      <c r="K125">
        <v>959.02</v>
      </c>
      <c r="L125">
        <v>75.66</v>
      </c>
      <c r="M125">
        <v>29.02</v>
      </c>
      <c r="N125">
        <v>185.42</v>
      </c>
      <c r="O125">
        <v>0</v>
      </c>
      <c r="P125" s="5">
        <f>DATE(YEAR(gusto_payroll_bc[[#This Row],[Pay_Date]]),MONTH(gusto_payroll_bc[[#This Row],[Pay_Date]]),1)</f>
        <v>44805</v>
      </c>
      <c r="Q125">
        <f t="shared" si="1"/>
        <v>1367.96</v>
      </c>
    </row>
    <row r="126" spans="1:17" x14ac:dyDescent="0.3">
      <c r="A126">
        <v>3</v>
      </c>
      <c r="B126" t="s">
        <v>1127</v>
      </c>
      <c r="C126" t="s">
        <v>1098</v>
      </c>
      <c r="D126" s="1">
        <v>44848</v>
      </c>
      <c r="E126">
        <v>1251.56</v>
      </c>
      <c r="F126">
        <v>150.19</v>
      </c>
      <c r="G126">
        <v>62.58</v>
      </c>
      <c r="H126">
        <v>74.47</v>
      </c>
      <c r="I126">
        <v>20.399999999999999</v>
      </c>
      <c r="J126">
        <v>0</v>
      </c>
      <c r="K126">
        <v>943.93</v>
      </c>
      <c r="L126">
        <v>74.47</v>
      </c>
      <c r="M126">
        <v>28.56</v>
      </c>
      <c r="N126">
        <v>147.1</v>
      </c>
      <c r="O126">
        <v>0</v>
      </c>
      <c r="P126" s="5">
        <f>DATE(YEAR(gusto_payroll_bc[[#This Row],[Pay_Date]]),MONTH(gusto_payroll_bc[[#This Row],[Pay_Date]]),1)</f>
        <v>44835</v>
      </c>
      <c r="Q126">
        <f t="shared" si="1"/>
        <v>1346.43</v>
      </c>
    </row>
    <row r="127" spans="1:17" x14ac:dyDescent="0.3">
      <c r="A127">
        <v>3</v>
      </c>
      <c r="B127" t="s">
        <v>1127</v>
      </c>
      <c r="C127" t="s">
        <v>1098</v>
      </c>
      <c r="D127" s="1">
        <v>44862</v>
      </c>
      <c r="E127">
        <v>1313.59</v>
      </c>
      <c r="F127">
        <v>157.63</v>
      </c>
      <c r="G127">
        <v>65.680000000000007</v>
      </c>
      <c r="H127">
        <v>78.16</v>
      </c>
      <c r="I127">
        <v>21.41</v>
      </c>
      <c r="J127">
        <v>0</v>
      </c>
      <c r="K127">
        <v>990.71</v>
      </c>
      <c r="L127">
        <v>78.16</v>
      </c>
      <c r="M127">
        <v>29.98</v>
      </c>
      <c r="N127">
        <v>233.89</v>
      </c>
      <c r="O127">
        <v>0</v>
      </c>
      <c r="P127" s="5">
        <f>DATE(YEAR(gusto_payroll_bc[[#This Row],[Pay_Date]]),MONTH(gusto_payroll_bc[[#This Row],[Pay_Date]]),1)</f>
        <v>44835</v>
      </c>
      <c r="Q127">
        <f t="shared" si="1"/>
        <v>1413.16</v>
      </c>
    </row>
    <row r="128" spans="1:17" x14ac:dyDescent="0.3">
      <c r="A128">
        <v>3</v>
      </c>
      <c r="B128" t="s">
        <v>1127</v>
      </c>
      <c r="C128" t="s">
        <v>1098</v>
      </c>
      <c r="D128" s="1">
        <v>44876</v>
      </c>
      <c r="E128">
        <v>1298.45</v>
      </c>
      <c r="F128">
        <v>155.81</v>
      </c>
      <c r="G128">
        <v>64.92</v>
      </c>
      <c r="H128">
        <v>77.260000000000005</v>
      </c>
      <c r="I128">
        <v>21.16</v>
      </c>
      <c r="J128">
        <v>0</v>
      </c>
      <c r="K128">
        <v>979.29</v>
      </c>
      <c r="L128">
        <v>77.260000000000005</v>
      </c>
      <c r="M128">
        <v>29.63</v>
      </c>
      <c r="N128">
        <v>151.41</v>
      </c>
      <c r="O128">
        <v>0</v>
      </c>
      <c r="P128" s="5">
        <f>DATE(YEAR(gusto_payroll_bc[[#This Row],[Pay_Date]]),MONTH(gusto_payroll_bc[[#This Row],[Pay_Date]]),1)</f>
        <v>44866</v>
      </c>
      <c r="Q128">
        <f t="shared" si="1"/>
        <v>1396.8700000000001</v>
      </c>
    </row>
    <row r="129" spans="1:17" x14ac:dyDescent="0.3">
      <c r="A129">
        <v>3</v>
      </c>
      <c r="B129" t="s">
        <v>1127</v>
      </c>
      <c r="C129" t="s">
        <v>1098</v>
      </c>
      <c r="D129" s="1">
        <v>44890</v>
      </c>
      <c r="E129">
        <v>1197.3599999999999</v>
      </c>
      <c r="F129">
        <v>143.68</v>
      </c>
      <c r="G129">
        <v>59.87</v>
      </c>
      <c r="H129">
        <v>71.239999999999995</v>
      </c>
      <c r="I129">
        <v>19.52</v>
      </c>
      <c r="J129">
        <v>0</v>
      </c>
      <c r="K129">
        <v>903.05</v>
      </c>
      <c r="L129">
        <v>71.239999999999995</v>
      </c>
      <c r="M129">
        <v>27.32</v>
      </c>
      <c r="N129">
        <v>184.92</v>
      </c>
      <c r="O129">
        <v>0</v>
      </c>
      <c r="P129" s="5">
        <f>DATE(YEAR(gusto_payroll_bc[[#This Row],[Pay_Date]]),MONTH(gusto_payroll_bc[[#This Row],[Pay_Date]]),1)</f>
        <v>44866</v>
      </c>
      <c r="Q129">
        <f t="shared" si="1"/>
        <v>1288.1199999999999</v>
      </c>
    </row>
    <row r="130" spans="1:17" x14ac:dyDescent="0.3">
      <c r="A130">
        <v>3</v>
      </c>
      <c r="B130" t="s">
        <v>1127</v>
      </c>
      <c r="C130" t="s">
        <v>1098</v>
      </c>
      <c r="D130" s="1">
        <v>44904</v>
      </c>
      <c r="E130">
        <v>1347.98</v>
      </c>
      <c r="F130">
        <v>161.76</v>
      </c>
      <c r="G130">
        <v>67.400000000000006</v>
      </c>
      <c r="H130">
        <v>80.2</v>
      </c>
      <c r="I130">
        <v>21.97</v>
      </c>
      <c r="J130">
        <v>0</v>
      </c>
      <c r="K130">
        <v>1016.65</v>
      </c>
      <c r="L130">
        <v>80.2</v>
      </c>
      <c r="M130">
        <v>30.76</v>
      </c>
      <c r="N130">
        <v>182.53</v>
      </c>
      <c r="O130">
        <v>0</v>
      </c>
      <c r="P130" s="5">
        <f>DATE(YEAR(gusto_payroll_bc[[#This Row],[Pay_Date]]),MONTH(gusto_payroll_bc[[#This Row],[Pay_Date]]),1)</f>
        <v>44896</v>
      </c>
      <c r="Q130">
        <f t="shared" ref="Q130:Q193" si="2">SUM(E130,H130,I130)</f>
        <v>1450.15</v>
      </c>
    </row>
    <row r="131" spans="1:17" x14ac:dyDescent="0.3">
      <c r="A131">
        <v>3</v>
      </c>
      <c r="B131" t="s">
        <v>1127</v>
      </c>
      <c r="C131" t="s">
        <v>1098</v>
      </c>
      <c r="D131" s="1">
        <v>44918</v>
      </c>
      <c r="E131">
        <v>1332.4</v>
      </c>
      <c r="F131">
        <v>159.88999999999999</v>
      </c>
      <c r="G131">
        <v>66.62</v>
      </c>
      <c r="H131">
        <v>79.28</v>
      </c>
      <c r="I131">
        <v>21.72</v>
      </c>
      <c r="J131">
        <v>0</v>
      </c>
      <c r="K131">
        <v>1004.89</v>
      </c>
      <c r="L131">
        <v>79.28</v>
      </c>
      <c r="M131">
        <v>30.41</v>
      </c>
      <c r="N131">
        <v>199.73</v>
      </c>
      <c r="O131">
        <v>0</v>
      </c>
      <c r="P131" s="5">
        <f>DATE(YEAR(gusto_payroll_bc[[#This Row],[Pay_Date]]),MONTH(gusto_payroll_bc[[#This Row],[Pay_Date]]),1)</f>
        <v>44896</v>
      </c>
      <c r="Q131">
        <f t="shared" si="2"/>
        <v>1433.4</v>
      </c>
    </row>
    <row r="132" spans="1:17" x14ac:dyDescent="0.3">
      <c r="A132">
        <v>3</v>
      </c>
      <c r="B132" t="s">
        <v>1127</v>
      </c>
      <c r="C132" t="s">
        <v>1098</v>
      </c>
      <c r="D132" s="1">
        <v>44932</v>
      </c>
      <c r="E132">
        <v>1147.0899999999999</v>
      </c>
      <c r="F132">
        <v>137.65</v>
      </c>
      <c r="G132">
        <v>57.35</v>
      </c>
      <c r="H132">
        <v>68.25</v>
      </c>
      <c r="I132">
        <v>18.7</v>
      </c>
      <c r="J132">
        <v>0</v>
      </c>
      <c r="K132">
        <v>865.13</v>
      </c>
      <c r="L132">
        <v>68.25</v>
      </c>
      <c r="M132">
        <v>26.18</v>
      </c>
      <c r="N132">
        <v>176.79</v>
      </c>
      <c r="O132">
        <v>0</v>
      </c>
      <c r="P132" s="5">
        <f>DATE(YEAR(gusto_payroll_bc[[#This Row],[Pay_Date]]),MONTH(gusto_payroll_bc[[#This Row],[Pay_Date]]),1)</f>
        <v>44927</v>
      </c>
      <c r="Q132">
        <f t="shared" si="2"/>
        <v>1234.04</v>
      </c>
    </row>
    <row r="133" spans="1:17" x14ac:dyDescent="0.3">
      <c r="A133">
        <v>3</v>
      </c>
      <c r="B133" t="s">
        <v>1127</v>
      </c>
      <c r="C133" t="s">
        <v>1098</v>
      </c>
      <c r="D133" s="1">
        <v>44946</v>
      </c>
      <c r="E133">
        <v>1310.79</v>
      </c>
      <c r="F133">
        <v>157.30000000000001</v>
      </c>
      <c r="G133">
        <v>65.540000000000006</v>
      </c>
      <c r="H133">
        <v>77.989999999999995</v>
      </c>
      <c r="I133">
        <v>21.37</v>
      </c>
      <c r="J133">
        <v>0</v>
      </c>
      <c r="K133">
        <v>988.6</v>
      </c>
      <c r="L133">
        <v>77.989999999999995</v>
      </c>
      <c r="M133">
        <v>29.91</v>
      </c>
      <c r="N133">
        <v>175.25</v>
      </c>
      <c r="O133">
        <v>0</v>
      </c>
      <c r="P133" s="5">
        <f>DATE(YEAR(gusto_payroll_bc[[#This Row],[Pay_Date]]),MONTH(gusto_payroll_bc[[#This Row],[Pay_Date]]),1)</f>
        <v>44927</v>
      </c>
      <c r="Q133">
        <f t="shared" si="2"/>
        <v>1410.1499999999999</v>
      </c>
    </row>
    <row r="134" spans="1:17" x14ac:dyDescent="0.3">
      <c r="A134">
        <v>3</v>
      </c>
      <c r="B134" t="s">
        <v>1127</v>
      </c>
      <c r="C134" t="s">
        <v>1098</v>
      </c>
      <c r="D134" s="1">
        <v>44960</v>
      </c>
      <c r="E134">
        <v>1271.69</v>
      </c>
      <c r="F134">
        <v>152.6</v>
      </c>
      <c r="G134">
        <v>63.58</v>
      </c>
      <c r="H134">
        <v>75.67</v>
      </c>
      <c r="I134">
        <v>20.73</v>
      </c>
      <c r="J134">
        <v>0</v>
      </c>
      <c r="K134">
        <v>959.11</v>
      </c>
      <c r="L134">
        <v>75.67</v>
      </c>
      <c r="M134">
        <v>29.02</v>
      </c>
      <c r="N134">
        <v>223.82</v>
      </c>
      <c r="O134">
        <v>0</v>
      </c>
      <c r="P134" s="5">
        <f>DATE(YEAR(gusto_payroll_bc[[#This Row],[Pay_Date]]),MONTH(gusto_payroll_bc[[#This Row],[Pay_Date]]),1)</f>
        <v>44958</v>
      </c>
      <c r="Q134">
        <f t="shared" si="2"/>
        <v>1368.0900000000001</v>
      </c>
    </row>
    <row r="135" spans="1:17" x14ac:dyDescent="0.3">
      <c r="A135">
        <v>3</v>
      </c>
      <c r="B135" t="s">
        <v>1127</v>
      </c>
      <c r="C135" t="s">
        <v>1098</v>
      </c>
      <c r="D135" s="1">
        <v>44974</v>
      </c>
      <c r="E135">
        <v>1285.57</v>
      </c>
      <c r="F135">
        <v>154.27000000000001</v>
      </c>
      <c r="G135">
        <v>64.28</v>
      </c>
      <c r="H135">
        <v>76.489999999999995</v>
      </c>
      <c r="I135">
        <v>20.95</v>
      </c>
      <c r="J135">
        <v>0</v>
      </c>
      <c r="K135">
        <v>969.58</v>
      </c>
      <c r="L135">
        <v>76.489999999999995</v>
      </c>
      <c r="M135">
        <v>29.34</v>
      </c>
      <c r="N135">
        <v>153.9</v>
      </c>
      <c r="O135">
        <v>0</v>
      </c>
      <c r="P135" s="5">
        <f>DATE(YEAR(gusto_payroll_bc[[#This Row],[Pay_Date]]),MONTH(gusto_payroll_bc[[#This Row],[Pay_Date]]),1)</f>
        <v>44958</v>
      </c>
      <c r="Q135">
        <f t="shared" si="2"/>
        <v>1383.01</v>
      </c>
    </row>
    <row r="136" spans="1:17" x14ac:dyDescent="0.3">
      <c r="A136">
        <v>3</v>
      </c>
      <c r="B136" t="s">
        <v>1127</v>
      </c>
      <c r="C136" t="s">
        <v>1098</v>
      </c>
      <c r="D136" s="1">
        <v>44988</v>
      </c>
      <c r="E136">
        <v>1264.5899999999999</v>
      </c>
      <c r="F136">
        <v>151.75</v>
      </c>
      <c r="G136">
        <v>63.23</v>
      </c>
      <c r="H136">
        <v>75.239999999999995</v>
      </c>
      <c r="I136">
        <v>20.61</v>
      </c>
      <c r="J136">
        <v>0</v>
      </c>
      <c r="K136">
        <v>953.75</v>
      </c>
      <c r="L136">
        <v>75.239999999999995</v>
      </c>
      <c r="M136">
        <v>28.86</v>
      </c>
      <c r="N136">
        <v>135.6</v>
      </c>
      <c r="O136">
        <v>0</v>
      </c>
      <c r="P136" s="5">
        <f>DATE(YEAR(gusto_payroll_bc[[#This Row],[Pay_Date]]),MONTH(gusto_payroll_bc[[#This Row],[Pay_Date]]),1)</f>
        <v>44986</v>
      </c>
      <c r="Q136">
        <f t="shared" si="2"/>
        <v>1360.4399999999998</v>
      </c>
    </row>
    <row r="137" spans="1:17" x14ac:dyDescent="0.3">
      <c r="A137">
        <v>3</v>
      </c>
      <c r="B137" t="s">
        <v>1127</v>
      </c>
      <c r="C137" t="s">
        <v>1098</v>
      </c>
      <c r="D137" s="1">
        <v>45002</v>
      </c>
      <c r="E137">
        <v>1264.3399999999999</v>
      </c>
      <c r="F137">
        <v>151.72</v>
      </c>
      <c r="G137">
        <v>63.22</v>
      </c>
      <c r="H137">
        <v>75.23</v>
      </c>
      <c r="I137">
        <v>20.61</v>
      </c>
      <c r="J137">
        <v>0</v>
      </c>
      <c r="K137">
        <v>953.57</v>
      </c>
      <c r="L137">
        <v>75.23</v>
      </c>
      <c r="M137">
        <v>28.85</v>
      </c>
      <c r="N137">
        <v>198.08</v>
      </c>
      <c r="O137">
        <v>0</v>
      </c>
      <c r="P137" s="5">
        <f>DATE(YEAR(gusto_payroll_bc[[#This Row],[Pay_Date]]),MONTH(gusto_payroll_bc[[#This Row],[Pay_Date]]),1)</f>
        <v>44986</v>
      </c>
      <c r="Q137">
        <f t="shared" si="2"/>
        <v>1360.1799999999998</v>
      </c>
    </row>
    <row r="138" spans="1:17" x14ac:dyDescent="0.3">
      <c r="A138">
        <v>3</v>
      </c>
      <c r="B138" t="s">
        <v>1127</v>
      </c>
      <c r="C138" t="s">
        <v>1098</v>
      </c>
      <c r="D138" s="1">
        <v>45016</v>
      </c>
      <c r="E138">
        <v>1236.2</v>
      </c>
      <c r="F138">
        <v>148.34</v>
      </c>
      <c r="G138">
        <v>61.81</v>
      </c>
      <c r="H138">
        <v>73.55</v>
      </c>
      <c r="I138">
        <v>20.149999999999999</v>
      </c>
      <c r="J138">
        <v>0</v>
      </c>
      <c r="K138">
        <v>932.34</v>
      </c>
      <c r="L138">
        <v>73.55</v>
      </c>
      <c r="M138">
        <v>28.21</v>
      </c>
      <c r="N138">
        <v>160.91999999999999</v>
      </c>
      <c r="O138">
        <v>0</v>
      </c>
      <c r="P138" s="5">
        <f>DATE(YEAR(gusto_payroll_bc[[#This Row],[Pay_Date]]),MONTH(gusto_payroll_bc[[#This Row],[Pay_Date]]),1)</f>
        <v>44986</v>
      </c>
      <c r="Q138">
        <f t="shared" si="2"/>
        <v>1329.9</v>
      </c>
    </row>
    <row r="139" spans="1:17" x14ac:dyDescent="0.3">
      <c r="A139">
        <v>3</v>
      </c>
      <c r="B139" t="s">
        <v>1127</v>
      </c>
      <c r="C139" t="s">
        <v>1098</v>
      </c>
      <c r="D139" s="1">
        <v>45030</v>
      </c>
      <c r="E139">
        <v>1234.78</v>
      </c>
      <c r="F139">
        <v>148.16999999999999</v>
      </c>
      <c r="G139">
        <v>61.74</v>
      </c>
      <c r="H139">
        <v>73.47</v>
      </c>
      <c r="I139">
        <v>20.13</v>
      </c>
      <c r="J139">
        <v>0</v>
      </c>
      <c r="K139">
        <v>931.27</v>
      </c>
      <c r="L139">
        <v>73.47</v>
      </c>
      <c r="M139">
        <v>28.18</v>
      </c>
      <c r="N139">
        <v>202.88</v>
      </c>
      <c r="O139">
        <v>0</v>
      </c>
      <c r="P139" s="5">
        <f>DATE(YEAR(gusto_payroll_bc[[#This Row],[Pay_Date]]),MONTH(gusto_payroll_bc[[#This Row],[Pay_Date]]),1)</f>
        <v>45017</v>
      </c>
      <c r="Q139">
        <f t="shared" si="2"/>
        <v>1328.38</v>
      </c>
    </row>
    <row r="140" spans="1:17" x14ac:dyDescent="0.3">
      <c r="A140">
        <v>3</v>
      </c>
      <c r="B140" t="s">
        <v>1127</v>
      </c>
      <c r="C140" t="s">
        <v>1098</v>
      </c>
      <c r="D140" s="1">
        <v>45044</v>
      </c>
      <c r="E140">
        <v>1201.18</v>
      </c>
      <c r="F140">
        <v>144.13999999999999</v>
      </c>
      <c r="G140">
        <v>60.06</v>
      </c>
      <c r="H140">
        <v>71.47</v>
      </c>
      <c r="I140">
        <v>19.579999999999998</v>
      </c>
      <c r="J140">
        <v>0</v>
      </c>
      <c r="K140">
        <v>905.93</v>
      </c>
      <c r="L140">
        <v>71.47</v>
      </c>
      <c r="M140">
        <v>27.41</v>
      </c>
      <c r="N140">
        <v>169.69</v>
      </c>
      <c r="O140">
        <v>0</v>
      </c>
      <c r="P140" s="5">
        <f>DATE(YEAR(gusto_payroll_bc[[#This Row],[Pay_Date]]),MONTH(gusto_payroll_bc[[#This Row],[Pay_Date]]),1)</f>
        <v>45017</v>
      </c>
      <c r="Q140">
        <f t="shared" si="2"/>
        <v>1292.23</v>
      </c>
    </row>
    <row r="141" spans="1:17" x14ac:dyDescent="0.3">
      <c r="A141">
        <v>3</v>
      </c>
      <c r="B141" t="s">
        <v>1127</v>
      </c>
      <c r="C141" t="s">
        <v>1098</v>
      </c>
      <c r="D141" s="1">
        <v>45058</v>
      </c>
      <c r="E141">
        <v>1230.45</v>
      </c>
      <c r="F141">
        <v>147.65</v>
      </c>
      <c r="G141">
        <v>61.52</v>
      </c>
      <c r="H141">
        <v>73.209999999999994</v>
      </c>
      <c r="I141">
        <v>20.059999999999999</v>
      </c>
      <c r="J141">
        <v>0</v>
      </c>
      <c r="K141">
        <v>928.01</v>
      </c>
      <c r="L141">
        <v>73.209999999999994</v>
      </c>
      <c r="M141">
        <v>28.08</v>
      </c>
      <c r="N141">
        <v>146.9</v>
      </c>
      <c r="O141">
        <v>0</v>
      </c>
      <c r="P141" s="5">
        <f>DATE(YEAR(gusto_payroll_bc[[#This Row],[Pay_Date]]),MONTH(gusto_payroll_bc[[#This Row],[Pay_Date]]),1)</f>
        <v>45047</v>
      </c>
      <c r="Q141">
        <f t="shared" si="2"/>
        <v>1323.72</v>
      </c>
    </row>
    <row r="142" spans="1:17" x14ac:dyDescent="0.3">
      <c r="A142">
        <v>3</v>
      </c>
      <c r="B142" t="s">
        <v>1127</v>
      </c>
      <c r="C142" t="s">
        <v>1098</v>
      </c>
      <c r="D142" s="1">
        <v>45072</v>
      </c>
      <c r="E142">
        <v>1269.78</v>
      </c>
      <c r="F142">
        <v>152.37</v>
      </c>
      <c r="G142">
        <v>63.49</v>
      </c>
      <c r="H142">
        <v>75.55</v>
      </c>
      <c r="I142">
        <v>20.7</v>
      </c>
      <c r="J142">
        <v>0</v>
      </c>
      <c r="K142">
        <v>957.67</v>
      </c>
      <c r="L142">
        <v>75.55</v>
      </c>
      <c r="M142">
        <v>28.98</v>
      </c>
      <c r="N142">
        <v>165.7</v>
      </c>
      <c r="O142">
        <v>0</v>
      </c>
      <c r="P142" s="5">
        <f>DATE(YEAR(gusto_payroll_bc[[#This Row],[Pay_Date]]),MONTH(gusto_payroll_bc[[#This Row],[Pay_Date]]),1)</f>
        <v>45047</v>
      </c>
      <c r="Q142">
        <f t="shared" si="2"/>
        <v>1366.03</v>
      </c>
    </row>
    <row r="143" spans="1:17" x14ac:dyDescent="0.3">
      <c r="A143">
        <v>3</v>
      </c>
      <c r="B143" t="s">
        <v>1127</v>
      </c>
      <c r="C143" t="s">
        <v>1098</v>
      </c>
      <c r="D143" s="1">
        <v>45086</v>
      </c>
      <c r="E143">
        <v>1210.1500000000001</v>
      </c>
      <c r="F143">
        <v>145.22</v>
      </c>
      <c r="G143">
        <v>60.51</v>
      </c>
      <c r="H143">
        <v>72</v>
      </c>
      <c r="I143">
        <v>19.73</v>
      </c>
      <c r="J143">
        <v>0</v>
      </c>
      <c r="K143">
        <v>912.69</v>
      </c>
      <c r="L143">
        <v>72</v>
      </c>
      <c r="M143">
        <v>27.62</v>
      </c>
      <c r="N143">
        <v>159.58000000000001</v>
      </c>
      <c r="O143">
        <v>0</v>
      </c>
      <c r="P143" s="5">
        <f>DATE(YEAR(gusto_payroll_bc[[#This Row],[Pay_Date]]),MONTH(gusto_payroll_bc[[#This Row],[Pay_Date]]),1)</f>
        <v>45078</v>
      </c>
      <c r="Q143">
        <f t="shared" si="2"/>
        <v>1301.8800000000001</v>
      </c>
    </row>
    <row r="144" spans="1:17" x14ac:dyDescent="0.3">
      <c r="A144">
        <v>3</v>
      </c>
      <c r="B144" t="s">
        <v>1127</v>
      </c>
      <c r="C144" t="s">
        <v>1098</v>
      </c>
      <c r="D144" s="1">
        <v>45100</v>
      </c>
      <c r="E144">
        <v>1248.3699999999999</v>
      </c>
      <c r="F144">
        <v>149.80000000000001</v>
      </c>
      <c r="G144">
        <v>62.42</v>
      </c>
      <c r="H144">
        <v>74.28</v>
      </c>
      <c r="I144">
        <v>20.350000000000001</v>
      </c>
      <c r="J144">
        <v>0</v>
      </c>
      <c r="K144">
        <v>941.52</v>
      </c>
      <c r="L144">
        <v>74.28</v>
      </c>
      <c r="M144">
        <v>28.49</v>
      </c>
      <c r="N144">
        <v>165.18</v>
      </c>
      <c r="O144">
        <v>0</v>
      </c>
      <c r="P144" s="5">
        <f>DATE(YEAR(gusto_payroll_bc[[#This Row],[Pay_Date]]),MONTH(gusto_payroll_bc[[#This Row],[Pay_Date]]),1)</f>
        <v>45078</v>
      </c>
      <c r="Q144">
        <f t="shared" si="2"/>
        <v>1342.9999999999998</v>
      </c>
    </row>
    <row r="145" spans="1:17" x14ac:dyDescent="0.3">
      <c r="A145">
        <v>3</v>
      </c>
      <c r="B145" t="s">
        <v>1127</v>
      </c>
      <c r="C145" t="s">
        <v>1098</v>
      </c>
      <c r="D145" s="1">
        <v>45114</v>
      </c>
      <c r="E145">
        <v>1312.14</v>
      </c>
      <c r="F145">
        <v>157.46</v>
      </c>
      <c r="G145">
        <v>65.61</v>
      </c>
      <c r="H145">
        <v>78.069999999999993</v>
      </c>
      <c r="I145">
        <v>21.39</v>
      </c>
      <c r="J145">
        <v>0</v>
      </c>
      <c r="K145">
        <v>989.62</v>
      </c>
      <c r="L145">
        <v>78.069999999999993</v>
      </c>
      <c r="M145">
        <v>29.94</v>
      </c>
      <c r="N145">
        <v>216.23</v>
      </c>
      <c r="O145">
        <v>0</v>
      </c>
      <c r="P145" s="5">
        <f>DATE(YEAR(gusto_payroll_bc[[#This Row],[Pay_Date]]),MONTH(gusto_payroll_bc[[#This Row],[Pay_Date]]),1)</f>
        <v>45108</v>
      </c>
      <c r="Q145">
        <f t="shared" si="2"/>
        <v>1411.6000000000001</v>
      </c>
    </row>
    <row r="146" spans="1:17" x14ac:dyDescent="0.3">
      <c r="A146">
        <v>3</v>
      </c>
      <c r="B146" t="s">
        <v>1127</v>
      </c>
      <c r="C146" t="s">
        <v>1098</v>
      </c>
      <c r="D146" s="1">
        <v>45128</v>
      </c>
      <c r="E146">
        <v>1436.66</v>
      </c>
      <c r="F146">
        <v>172.4</v>
      </c>
      <c r="G146">
        <v>71.83</v>
      </c>
      <c r="H146">
        <v>85.48</v>
      </c>
      <c r="I146">
        <v>23.42</v>
      </c>
      <c r="J146">
        <v>0</v>
      </c>
      <c r="K146">
        <v>1083.53</v>
      </c>
      <c r="L146">
        <v>85.48</v>
      </c>
      <c r="M146">
        <v>32.78</v>
      </c>
      <c r="N146">
        <v>221.76</v>
      </c>
      <c r="O146">
        <v>0</v>
      </c>
      <c r="P146" s="5">
        <f>DATE(YEAR(gusto_payroll_bc[[#This Row],[Pay_Date]]),MONTH(gusto_payroll_bc[[#This Row],[Pay_Date]]),1)</f>
        <v>45108</v>
      </c>
      <c r="Q146">
        <f t="shared" si="2"/>
        <v>1545.5600000000002</v>
      </c>
    </row>
    <row r="147" spans="1:17" x14ac:dyDescent="0.3">
      <c r="A147">
        <v>3</v>
      </c>
      <c r="B147" t="s">
        <v>1127</v>
      </c>
      <c r="C147" t="s">
        <v>1098</v>
      </c>
      <c r="D147" s="1">
        <v>45142</v>
      </c>
      <c r="E147">
        <v>1213.1600000000001</v>
      </c>
      <c r="F147">
        <v>145.58000000000001</v>
      </c>
      <c r="G147">
        <v>60.66</v>
      </c>
      <c r="H147">
        <v>72.180000000000007</v>
      </c>
      <c r="I147">
        <v>19.77</v>
      </c>
      <c r="J147">
        <v>0</v>
      </c>
      <c r="K147">
        <v>914.96</v>
      </c>
      <c r="L147">
        <v>72.180000000000007</v>
      </c>
      <c r="M147">
        <v>27.68</v>
      </c>
      <c r="N147">
        <v>194.05</v>
      </c>
      <c r="O147">
        <v>0</v>
      </c>
      <c r="P147" s="5">
        <f>DATE(YEAR(gusto_payroll_bc[[#This Row],[Pay_Date]]),MONTH(gusto_payroll_bc[[#This Row],[Pay_Date]]),1)</f>
        <v>45139</v>
      </c>
      <c r="Q147">
        <f t="shared" si="2"/>
        <v>1305.1100000000001</v>
      </c>
    </row>
    <row r="148" spans="1:17" x14ac:dyDescent="0.3">
      <c r="A148">
        <v>3</v>
      </c>
      <c r="B148" t="s">
        <v>1127</v>
      </c>
      <c r="C148" t="s">
        <v>1098</v>
      </c>
      <c r="D148" s="1">
        <v>45156</v>
      </c>
      <c r="E148">
        <v>1238.1400000000001</v>
      </c>
      <c r="F148">
        <v>148.58000000000001</v>
      </c>
      <c r="G148">
        <v>61.91</v>
      </c>
      <c r="H148">
        <v>73.67</v>
      </c>
      <c r="I148">
        <v>20.18</v>
      </c>
      <c r="J148">
        <v>0</v>
      </c>
      <c r="K148">
        <v>933.8</v>
      </c>
      <c r="L148">
        <v>73.67</v>
      </c>
      <c r="M148">
        <v>28.25</v>
      </c>
      <c r="N148">
        <v>218.78</v>
      </c>
      <c r="O148">
        <v>0</v>
      </c>
      <c r="P148" s="5">
        <f>DATE(YEAR(gusto_payroll_bc[[#This Row],[Pay_Date]]),MONTH(gusto_payroll_bc[[#This Row],[Pay_Date]]),1)</f>
        <v>45139</v>
      </c>
      <c r="Q148">
        <f t="shared" si="2"/>
        <v>1331.9900000000002</v>
      </c>
    </row>
    <row r="149" spans="1:17" x14ac:dyDescent="0.3">
      <c r="A149">
        <v>3</v>
      </c>
      <c r="B149" t="s">
        <v>1127</v>
      </c>
      <c r="C149" t="s">
        <v>1098</v>
      </c>
      <c r="D149" s="1">
        <v>45170</v>
      </c>
      <c r="E149">
        <v>1307.54</v>
      </c>
      <c r="F149">
        <v>156.9</v>
      </c>
      <c r="G149">
        <v>65.38</v>
      </c>
      <c r="H149">
        <v>77.8</v>
      </c>
      <c r="I149">
        <v>21.31</v>
      </c>
      <c r="J149">
        <v>0</v>
      </c>
      <c r="K149">
        <v>986.14</v>
      </c>
      <c r="L149">
        <v>77.8</v>
      </c>
      <c r="M149">
        <v>29.84</v>
      </c>
      <c r="N149">
        <v>164.94</v>
      </c>
      <c r="O149">
        <v>0</v>
      </c>
      <c r="P149" s="5">
        <f>DATE(YEAR(gusto_payroll_bc[[#This Row],[Pay_Date]]),MONTH(gusto_payroll_bc[[#This Row],[Pay_Date]]),1)</f>
        <v>45170</v>
      </c>
      <c r="Q149">
        <f t="shared" si="2"/>
        <v>1406.6499999999999</v>
      </c>
    </row>
    <row r="150" spans="1:17" x14ac:dyDescent="0.3">
      <c r="A150">
        <v>3</v>
      </c>
      <c r="B150" t="s">
        <v>1127</v>
      </c>
      <c r="C150" t="s">
        <v>1098</v>
      </c>
      <c r="D150" s="1">
        <v>45184</v>
      </c>
      <c r="E150">
        <v>1207.47</v>
      </c>
      <c r="F150">
        <v>144.9</v>
      </c>
      <c r="G150">
        <v>60.37</v>
      </c>
      <c r="H150">
        <v>71.84</v>
      </c>
      <c r="I150">
        <v>19.68</v>
      </c>
      <c r="J150">
        <v>0</v>
      </c>
      <c r="K150">
        <v>910.67</v>
      </c>
      <c r="L150">
        <v>71.84</v>
      </c>
      <c r="M150">
        <v>27.55</v>
      </c>
      <c r="N150">
        <v>124.71</v>
      </c>
      <c r="O150">
        <v>0</v>
      </c>
      <c r="P150" s="5">
        <f>DATE(YEAR(gusto_payroll_bc[[#This Row],[Pay_Date]]),MONTH(gusto_payroll_bc[[#This Row],[Pay_Date]]),1)</f>
        <v>45170</v>
      </c>
      <c r="Q150">
        <f t="shared" si="2"/>
        <v>1298.99</v>
      </c>
    </row>
    <row r="151" spans="1:17" x14ac:dyDescent="0.3">
      <c r="A151">
        <v>3</v>
      </c>
      <c r="B151" t="s">
        <v>1127</v>
      </c>
      <c r="C151" t="s">
        <v>1098</v>
      </c>
      <c r="D151" s="1">
        <v>45198</v>
      </c>
      <c r="E151">
        <v>1314.54</v>
      </c>
      <c r="F151">
        <v>157.74</v>
      </c>
      <c r="G151">
        <v>65.73</v>
      </c>
      <c r="H151">
        <v>78.209999999999994</v>
      </c>
      <c r="I151">
        <v>21.43</v>
      </c>
      <c r="J151">
        <v>0</v>
      </c>
      <c r="K151">
        <v>991.42</v>
      </c>
      <c r="L151">
        <v>78.209999999999994</v>
      </c>
      <c r="M151">
        <v>30</v>
      </c>
      <c r="N151">
        <v>178.27</v>
      </c>
      <c r="O151">
        <v>0</v>
      </c>
      <c r="P151" s="5">
        <f>DATE(YEAR(gusto_payroll_bc[[#This Row],[Pay_Date]]),MONTH(gusto_payroll_bc[[#This Row],[Pay_Date]]),1)</f>
        <v>45170</v>
      </c>
      <c r="Q151">
        <f t="shared" si="2"/>
        <v>1414.18</v>
      </c>
    </row>
    <row r="152" spans="1:17" x14ac:dyDescent="0.3">
      <c r="A152">
        <v>3</v>
      </c>
      <c r="B152" t="s">
        <v>1127</v>
      </c>
      <c r="C152" t="s">
        <v>1098</v>
      </c>
      <c r="D152" s="1">
        <v>45212</v>
      </c>
      <c r="E152">
        <v>1319.02</v>
      </c>
      <c r="F152">
        <v>158.28</v>
      </c>
      <c r="G152">
        <v>65.95</v>
      </c>
      <c r="H152">
        <v>78.48</v>
      </c>
      <c r="I152">
        <v>21.5</v>
      </c>
      <c r="J152">
        <v>0</v>
      </c>
      <c r="K152">
        <v>994.8</v>
      </c>
      <c r="L152">
        <v>78.48</v>
      </c>
      <c r="M152">
        <v>30.1</v>
      </c>
      <c r="N152">
        <v>189.5</v>
      </c>
      <c r="O152">
        <v>0</v>
      </c>
      <c r="P152" s="5">
        <f>DATE(YEAR(gusto_payroll_bc[[#This Row],[Pay_Date]]),MONTH(gusto_payroll_bc[[#This Row],[Pay_Date]]),1)</f>
        <v>45200</v>
      </c>
      <c r="Q152">
        <f t="shared" si="2"/>
        <v>1419</v>
      </c>
    </row>
    <row r="153" spans="1:17" x14ac:dyDescent="0.3">
      <c r="A153">
        <v>3</v>
      </c>
      <c r="B153" t="s">
        <v>1127</v>
      </c>
      <c r="C153" t="s">
        <v>1098</v>
      </c>
      <c r="D153" s="1">
        <v>45226</v>
      </c>
      <c r="E153">
        <v>1270.96</v>
      </c>
      <c r="F153">
        <v>152.51</v>
      </c>
      <c r="G153">
        <v>63.55</v>
      </c>
      <c r="H153">
        <v>75.62</v>
      </c>
      <c r="I153">
        <v>20.72</v>
      </c>
      <c r="J153">
        <v>0</v>
      </c>
      <c r="K153">
        <v>958.56</v>
      </c>
      <c r="L153">
        <v>75.62</v>
      </c>
      <c r="M153">
        <v>29</v>
      </c>
      <c r="N153">
        <v>144.66</v>
      </c>
      <c r="O153">
        <v>0</v>
      </c>
      <c r="P153" s="5">
        <f>DATE(YEAR(gusto_payroll_bc[[#This Row],[Pay_Date]]),MONTH(gusto_payroll_bc[[#This Row],[Pay_Date]]),1)</f>
        <v>45200</v>
      </c>
      <c r="Q153">
        <f t="shared" si="2"/>
        <v>1367.3</v>
      </c>
    </row>
    <row r="154" spans="1:17" x14ac:dyDescent="0.3">
      <c r="A154">
        <v>3</v>
      </c>
      <c r="B154" t="s">
        <v>1127</v>
      </c>
      <c r="C154" t="s">
        <v>1098</v>
      </c>
      <c r="D154" s="1">
        <v>45240</v>
      </c>
      <c r="E154">
        <v>1296.5</v>
      </c>
      <c r="F154">
        <v>155.58000000000001</v>
      </c>
      <c r="G154">
        <v>64.83</v>
      </c>
      <c r="H154">
        <v>77.14</v>
      </c>
      <c r="I154">
        <v>21.13</v>
      </c>
      <c r="J154">
        <v>0</v>
      </c>
      <c r="K154">
        <v>977.82</v>
      </c>
      <c r="L154">
        <v>77.14</v>
      </c>
      <c r="M154">
        <v>29.59</v>
      </c>
      <c r="N154">
        <v>182.33</v>
      </c>
      <c r="O154">
        <v>0</v>
      </c>
      <c r="P154" s="5">
        <f>DATE(YEAR(gusto_payroll_bc[[#This Row],[Pay_Date]]),MONTH(gusto_payroll_bc[[#This Row],[Pay_Date]]),1)</f>
        <v>45231</v>
      </c>
      <c r="Q154">
        <f t="shared" si="2"/>
        <v>1394.7700000000002</v>
      </c>
    </row>
    <row r="155" spans="1:17" x14ac:dyDescent="0.3">
      <c r="A155">
        <v>3</v>
      </c>
      <c r="B155" t="s">
        <v>1127</v>
      </c>
      <c r="C155" t="s">
        <v>1098</v>
      </c>
      <c r="D155" s="1">
        <v>45254</v>
      </c>
      <c r="E155">
        <v>1249.98</v>
      </c>
      <c r="F155">
        <v>150</v>
      </c>
      <c r="G155">
        <v>62.5</v>
      </c>
      <c r="H155">
        <v>74.37</v>
      </c>
      <c r="I155">
        <v>20.37</v>
      </c>
      <c r="J155">
        <v>0</v>
      </c>
      <c r="K155">
        <v>942.74</v>
      </c>
      <c r="L155">
        <v>74.37</v>
      </c>
      <c r="M155">
        <v>28.52</v>
      </c>
      <c r="N155">
        <v>170.38</v>
      </c>
      <c r="O155">
        <v>0</v>
      </c>
      <c r="P155" s="5">
        <f>DATE(YEAR(gusto_payroll_bc[[#This Row],[Pay_Date]]),MONTH(gusto_payroll_bc[[#This Row],[Pay_Date]]),1)</f>
        <v>45231</v>
      </c>
      <c r="Q155">
        <f t="shared" si="2"/>
        <v>1344.7199999999998</v>
      </c>
    </row>
    <row r="156" spans="1:17" x14ac:dyDescent="0.3">
      <c r="A156">
        <v>3</v>
      </c>
      <c r="B156" t="s">
        <v>1127</v>
      </c>
      <c r="C156" t="s">
        <v>1098</v>
      </c>
      <c r="D156" s="1">
        <v>45268</v>
      </c>
      <c r="E156">
        <v>1382.52</v>
      </c>
      <c r="F156">
        <v>165.9</v>
      </c>
      <c r="G156">
        <v>69.13</v>
      </c>
      <c r="H156">
        <v>82.26</v>
      </c>
      <c r="I156">
        <v>22.54</v>
      </c>
      <c r="J156">
        <v>0</v>
      </c>
      <c r="K156">
        <v>1042.69</v>
      </c>
      <c r="L156">
        <v>82.26</v>
      </c>
      <c r="M156">
        <v>31.55</v>
      </c>
      <c r="N156">
        <v>191.41</v>
      </c>
      <c r="O156">
        <v>0</v>
      </c>
      <c r="P156" s="5">
        <f>DATE(YEAR(gusto_payroll_bc[[#This Row],[Pay_Date]]),MONTH(gusto_payroll_bc[[#This Row],[Pay_Date]]),1)</f>
        <v>45261</v>
      </c>
      <c r="Q156">
        <f t="shared" si="2"/>
        <v>1487.32</v>
      </c>
    </row>
    <row r="157" spans="1:17" x14ac:dyDescent="0.3">
      <c r="A157">
        <v>3</v>
      </c>
      <c r="B157" t="s">
        <v>1127</v>
      </c>
      <c r="C157" t="s">
        <v>1098</v>
      </c>
      <c r="D157" s="1">
        <v>45282</v>
      </c>
      <c r="E157">
        <v>1288.76</v>
      </c>
      <c r="F157">
        <v>154.65</v>
      </c>
      <c r="G157">
        <v>64.44</v>
      </c>
      <c r="H157">
        <v>76.680000000000007</v>
      </c>
      <c r="I157">
        <v>21.01</v>
      </c>
      <c r="J157">
        <v>0</v>
      </c>
      <c r="K157">
        <v>971.98</v>
      </c>
      <c r="L157">
        <v>76.680000000000007</v>
      </c>
      <c r="M157">
        <v>29.41</v>
      </c>
      <c r="N157">
        <v>153.1</v>
      </c>
      <c r="O157">
        <v>0</v>
      </c>
      <c r="P157" s="5">
        <f>DATE(YEAR(gusto_payroll_bc[[#This Row],[Pay_Date]]),MONTH(gusto_payroll_bc[[#This Row],[Pay_Date]]),1)</f>
        <v>45261</v>
      </c>
      <c r="Q157">
        <f t="shared" si="2"/>
        <v>1386.45</v>
      </c>
    </row>
    <row r="158" spans="1:17" x14ac:dyDescent="0.3">
      <c r="A158">
        <v>4</v>
      </c>
      <c r="B158" t="s">
        <v>1128</v>
      </c>
      <c r="C158" t="s">
        <v>1105</v>
      </c>
      <c r="D158" s="1">
        <v>44568</v>
      </c>
      <c r="E158">
        <v>1489.39</v>
      </c>
      <c r="F158">
        <v>178.73</v>
      </c>
      <c r="G158">
        <v>74.47</v>
      </c>
      <c r="H158">
        <v>88.62</v>
      </c>
      <c r="I158">
        <v>24.28</v>
      </c>
      <c r="J158">
        <v>0</v>
      </c>
      <c r="K158">
        <v>1123.3</v>
      </c>
      <c r="L158">
        <v>88.62</v>
      </c>
      <c r="M158">
        <v>33.99</v>
      </c>
      <c r="N158">
        <v>0</v>
      </c>
      <c r="O158">
        <v>75</v>
      </c>
      <c r="P158" s="5">
        <f>DATE(YEAR(gusto_payroll_bc[[#This Row],[Pay_Date]]),MONTH(gusto_payroll_bc[[#This Row],[Pay_Date]]),1)</f>
        <v>44562</v>
      </c>
      <c r="Q158">
        <f t="shared" si="2"/>
        <v>1602.2900000000002</v>
      </c>
    </row>
    <row r="159" spans="1:17" x14ac:dyDescent="0.3">
      <c r="A159">
        <v>4</v>
      </c>
      <c r="B159" t="s">
        <v>1128</v>
      </c>
      <c r="C159" t="s">
        <v>1105</v>
      </c>
      <c r="D159" s="1">
        <v>44582</v>
      </c>
      <c r="E159">
        <v>1543</v>
      </c>
      <c r="F159">
        <v>185.16</v>
      </c>
      <c r="G159">
        <v>77.150000000000006</v>
      </c>
      <c r="H159">
        <v>91.81</v>
      </c>
      <c r="I159">
        <v>25.15</v>
      </c>
      <c r="J159">
        <v>0</v>
      </c>
      <c r="K159">
        <v>1163.73</v>
      </c>
      <c r="L159">
        <v>91.81</v>
      </c>
      <c r="M159">
        <v>35.21</v>
      </c>
      <c r="N159">
        <v>0</v>
      </c>
      <c r="O159">
        <v>75</v>
      </c>
      <c r="P159" s="5">
        <f>DATE(YEAR(gusto_payroll_bc[[#This Row],[Pay_Date]]),MONTH(gusto_payroll_bc[[#This Row],[Pay_Date]]),1)</f>
        <v>44562</v>
      </c>
      <c r="Q159">
        <f t="shared" si="2"/>
        <v>1659.96</v>
      </c>
    </row>
    <row r="160" spans="1:17" x14ac:dyDescent="0.3">
      <c r="A160">
        <v>4</v>
      </c>
      <c r="B160" t="s">
        <v>1128</v>
      </c>
      <c r="C160" t="s">
        <v>1105</v>
      </c>
      <c r="D160" s="1">
        <v>44596</v>
      </c>
      <c r="E160">
        <v>1562.69</v>
      </c>
      <c r="F160">
        <v>187.52</v>
      </c>
      <c r="G160">
        <v>78.13</v>
      </c>
      <c r="H160">
        <v>92.98</v>
      </c>
      <c r="I160">
        <v>25.47</v>
      </c>
      <c r="J160">
        <v>0</v>
      </c>
      <c r="K160">
        <v>1178.58</v>
      </c>
      <c r="L160">
        <v>92.98</v>
      </c>
      <c r="M160">
        <v>35.659999999999997</v>
      </c>
      <c r="N160">
        <v>0</v>
      </c>
      <c r="O160">
        <v>75</v>
      </c>
      <c r="P160" s="5">
        <f>DATE(YEAR(gusto_payroll_bc[[#This Row],[Pay_Date]]),MONTH(gusto_payroll_bc[[#This Row],[Pay_Date]]),1)</f>
        <v>44593</v>
      </c>
      <c r="Q160">
        <f t="shared" si="2"/>
        <v>1681.14</v>
      </c>
    </row>
    <row r="161" spans="1:17" x14ac:dyDescent="0.3">
      <c r="A161">
        <v>4</v>
      </c>
      <c r="B161" t="s">
        <v>1128</v>
      </c>
      <c r="C161" t="s">
        <v>1105</v>
      </c>
      <c r="D161" s="1">
        <v>44610</v>
      </c>
      <c r="E161">
        <v>1422.41</v>
      </c>
      <c r="F161">
        <v>170.69</v>
      </c>
      <c r="G161">
        <v>71.12</v>
      </c>
      <c r="H161">
        <v>84.63</v>
      </c>
      <c r="I161">
        <v>23.19</v>
      </c>
      <c r="J161">
        <v>0</v>
      </c>
      <c r="K161">
        <v>1072.78</v>
      </c>
      <c r="L161">
        <v>84.63</v>
      </c>
      <c r="M161">
        <v>32.46</v>
      </c>
      <c r="N161">
        <v>0</v>
      </c>
      <c r="O161">
        <v>75</v>
      </c>
      <c r="P161" s="5">
        <f>DATE(YEAR(gusto_payroll_bc[[#This Row],[Pay_Date]]),MONTH(gusto_payroll_bc[[#This Row],[Pay_Date]]),1)</f>
        <v>44593</v>
      </c>
      <c r="Q161">
        <f t="shared" si="2"/>
        <v>1530.23</v>
      </c>
    </row>
    <row r="162" spans="1:17" x14ac:dyDescent="0.3">
      <c r="A162">
        <v>4</v>
      </c>
      <c r="B162" t="s">
        <v>1128</v>
      </c>
      <c r="C162" t="s">
        <v>1105</v>
      </c>
      <c r="D162" s="1">
        <v>44624</v>
      </c>
      <c r="E162">
        <v>1518.55</v>
      </c>
      <c r="F162">
        <v>182.23</v>
      </c>
      <c r="G162">
        <v>75.930000000000007</v>
      </c>
      <c r="H162">
        <v>90.35</v>
      </c>
      <c r="I162">
        <v>24.75</v>
      </c>
      <c r="J162">
        <v>0</v>
      </c>
      <c r="K162">
        <v>1145.29</v>
      </c>
      <c r="L162">
        <v>90.35</v>
      </c>
      <c r="M162">
        <v>34.65</v>
      </c>
      <c r="N162">
        <v>0</v>
      </c>
      <c r="O162">
        <v>75</v>
      </c>
      <c r="P162" s="5">
        <f>DATE(YEAR(gusto_payroll_bc[[#This Row],[Pay_Date]]),MONTH(gusto_payroll_bc[[#This Row],[Pay_Date]]),1)</f>
        <v>44621</v>
      </c>
      <c r="Q162">
        <f t="shared" si="2"/>
        <v>1633.6499999999999</v>
      </c>
    </row>
    <row r="163" spans="1:17" x14ac:dyDescent="0.3">
      <c r="A163">
        <v>4</v>
      </c>
      <c r="B163" t="s">
        <v>1128</v>
      </c>
      <c r="C163" t="s">
        <v>1105</v>
      </c>
      <c r="D163" s="1">
        <v>44638</v>
      </c>
      <c r="E163">
        <v>1566.89</v>
      </c>
      <c r="F163">
        <v>188.03</v>
      </c>
      <c r="G163">
        <v>78.34</v>
      </c>
      <c r="H163">
        <v>93.23</v>
      </c>
      <c r="I163">
        <v>25.54</v>
      </c>
      <c r="J163">
        <v>0</v>
      </c>
      <c r="K163">
        <v>1181.75</v>
      </c>
      <c r="L163">
        <v>93.23</v>
      </c>
      <c r="M163">
        <v>35.76</v>
      </c>
      <c r="N163">
        <v>0</v>
      </c>
      <c r="O163">
        <v>75</v>
      </c>
      <c r="P163" s="5">
        <f>DATE(YEAR(gusto_payroll_bc[[#This Row],[Pay_Date]]),MONTH(gusto_payroll_bc[[#This Row],[Pay_Date]]),1)</f>
        <v>44621</v>
      </c>
      <c r="Q163">
        <f t="shared" si="2"/>
        <v>1685.66</v>
      </c>
    </row>
    <row r="164" spans="1:17" x14ac:dyDescent="0.3">
      <c r="A164">
        <v>4</v>
      </c>
      <c r="B164" t="s">
        <v>1128</v>
      </c>
      <c r="C164" t="s">
        <v>1105</v>
      </c>
      <c r="D164" s="1">
        <v>44652</v>
      </c>
      <c r="E164">
        <v>1418.76</v>
      </c>
      <c r="F164">
        <v>170.25</v>
      </c>
      <c r="G164">
        <v>70.94</v>
      </c>
      <c r="H164">
        <v>84.42</v>
      </c>
      <c r="I164">
        <v>23.13</v>
      </c>
      <c r="J164">
        <v>0</v>
      </c>
      <c r="K164">
        <v>1070.03</v>
      </c>
      <c r="L164">
        <v>84.42</v>
      </c>
      <c r="M164">
        <v>32.380000000000003</v>
      </c>
      <c r="N164">
        <v>0</v>
      </c>
      <c r="O164">
        <v>75</v>
      </c>
      <c r="P164" s="5">
        <f>DATE(YEAR(gusto_payroll_bc[[#This Row],[Pay_Date]]),MONTH(gusto_payroll_bc[[#This Row],[Pay_Date]]),1)</f>
        <v>44652</v>
      </c>
      <c r="Q164">
        <f t="shared" si="2"/>
        <v>1526.3100000000002</v>
      </c>
    </row>
    <row r="165" spans="1:17" x14ac:dyDescent="0.3">
      <c r="A165">
        <v>4</v>
      </c>
      <c r="B165" t="s">
        <v>1128</v>
      </c>
      <c r="C165" t="s">
        <v>1105</v>
      </c>
      <c r="D165" s="1">
        <v>44666</v>
      </c>
      <c r="E165">
        <v>1502.12</v>
      </c>
      <c r="F165">
        <v>180.25</v>
      </c>
      <c r="G165">
        <v>75.11</v>
      </c>
      <c r="H165">
        <v>89.38</v>
      </c>
      <c r="I165">
        <v>24.48</v>
      </c>
      <c r="J165">
        <v>0</v>
      </c>
      <c r="K165">
        <v>1132.9000000000001</v>
      </c>
      <c r="L165">
        <v>89.38</v>
      </c>
      <c r="M165">
        <v>34.28</v>
      </c>
      <c r="N165">
        <v>0</v>
      </c>
      <c r="O165">
        <v>75</v>
      </c>
      <c r="P165" s="5">
        <f>DATE(YEAR(gusto_payroll_bc[[#This Row],[Pay_Date]]),MONTH(gusto_payroll_bc[[#This Row],[Pay_Date]]),1)</f>
        <v>44652</v>
      </c>
      <c r="Q165">
        <f t="shared" si="2"/>
        <v>1615.98</v>
      </c>
    </row>
    <row r="166" spans="1:17" x14ac:dyDescent="0.3">
      <c r="A166">
        <v>4</v>
      </c>
      <c r="B166" t="s">
        <v>1128</v>
      </c>
      <c r="C166" t="s">
        <v>1105</v>
      </c>
      <c r="D166" s="1">
        <v>44680</v>
      </c>
      <c r="E166">
        <v>1545.15</v>
      </c>
      <c r="F166">
        <v>185.42</v>
      </c>
      <c r="G166">
        <v>77.260000000000005</v>
      </c>
      <c r="H166">
        <v>91.94</v>
      </c>
      <c r="I166">
        <v>25.19</v>
      </c>
      <c r="J166">
        <v>0</v>
      </c>
      <c r="K166">
        <v>1165.3599999999999</v>
      </c>
      <c r="L166">
        <v>91.94</v>
      </c>
      <c r="M166">
        <v>35.26</v>
      </c>
      <c r="N166">
        <v>0</v>
      </c>
      <c r="O166">
        <v>75</v>
      </c>
      <c r="P166" s="5">
        <f>DATE(YEAR(gusto_payroll_bc[[#This Row],[Pay_Date]]),MONTH(gusto_payroll_bc[[#This Row],[Pay_Date]]),1)</f>
        <v>44652</v>
      </c>
      <c r="Q166">
        <f t="shared" si="2"/>
        <v>1662.2800000000002</v>
      </c>
    </row>
    <row r="167" spans="1:17" x14ac:dyDescent="0.3">
      <c r="A167">
        <v>4</v>
      </c>
      <c r="B167" t="s">
        <v>1128</v>
      </c>
      <c r="C167" t="s">
        <v>1105</v>
      </c>
      <c r="D167" s="1">
        <v>44694</v>
      </c>
      <c r="E167">
        <v>1602.91</v>
      </c>
      <c r="F167">
        <v>192.35</v>
      </c>
      <c r="G167">
        <v>80.150000000000006</v>
      </c>
      <c r="H167">
        <v>95.37</v>
      </c>
      <c r="I167">
        <v>26.13</v>
      </c>
      <c r="J167">
        <v>0</v>
      </c>
      <c r="K167">
        <v>1208.9100000000001</v>
      </c>
      <c r="L167">
        <v>95.37</v>
      </c>
      <c r="M167">
        <v>36.58</v>
      </c>
      <c r="N167">
        <v>0</v>
      </c>
      <c r="O167">
        <v>75</v>
      </c>
      <c r="P167" s="5">
        <f>DATE(YEAR(gusto_payroll_bc[[#This Row],[Pay_Date]]),MONTH(gusto_payroll_bc[[#This Row],[Pay_Date]]),1)</f>
        <v>44682</v>
      </c>
      <c r="Q167">
        <f t="shared" si="2"/>
        <v>1724.4100000000003</v>
      </c>
    </row>
    <row r="168" spans="1:17" x14ac:dyDescent="0.3">
      <c r="A168">
        <v>4</v>
      </c>
      <c r="B168" t="s">
        <v>1128</v>
      </c>
      <c r="C168" t="s">
        <v>1105</v>
      </c>
      <c r="D168" s="1">
        <v>44708</v>
      </c>
      <c r="E168">
        <v>1437.43</v>
      </c>
      <c r="F168">
        <v>172.49</v>
      </c>
      <c r="G168">
        <v>71.87</v>
      </c>
      <c r="H168">
        <v>85.53</v>
      </c>
      <c r="I168">
        <v>23.43</v>
      </c>
      <c r="J168">
        <v>0</v>
      </c>
      <c r="K168">
        <v>1084.1099999999999</v>
      </c>
      <c r="L168">
        <v>85.53</v>
      </c>
      <c r="M168">
        <v>32.799999999999997</v>
      </c>
      <c r="N168">
        <v>0</v>
      </c>
      <c r="O168">
        <v>75</v>
      </c>
      <c r="P168" s="5">
        <f>DATE(YEAR(gusto_payroll_bc[[#This Row],[Pay_Date]]),MONTH(gusto_payroll_bc[[#This Row],[Pay_Date]]),1)</f>
        <v>44682</v>
      </c>
      <c r="Q168">
        <f t="shared" si="2"/>
        <v>1546.39</v>
      </c>
    </row>
    <row r="169" spans="1:17" x14ac:dyDescent="0.3">
      <c r="A169">
        <v>4</v>
      </c>
      <c r="B169" t="s">
        <v>1128</v>
      </c>
      <c r="C169" t="s">
        <v>1105</v>
      </c>
      <c r="D169" s="1">
        <v>44722</v>
      </c>
      <c r="E169">
        <v>1481.14</v>
      </c>
      <c r="F169">
        <v>177.74</v>
      </c>
      <c r="G169">
        <v>74.06</v>
      </c>
      <c r="H169">
        <v>88.13</v>
      </c>
      <c r="I169">
        <v>24.14</v>
      </c>
      <c r="J169">
        <v>0</v>
      </c>
      <c r="K169">
        <v>1117.08</v>
      </c>
      <c r="L169">
        <v>88.13</v>
      </c>
      <c r="M169">
        <v>33.799999999999997</v>
      </c>
      <c r="N169">
        <v>0</v>
      </c>
      <c r="O169">
        <v>75</v>
      </c>
      <c r="P169" s="5">
        <f>DATE(YEAR(gusto_payroll_bc[[#This Row],[Pay_Date]]),MONTH(gusto_payroll_bc[[#This Row],[Pay_Date]]),1)</f>
        <v>44713</v>
      </c>
      <c r="Q169">
        <f t="shared" si="2"/>
        <v>1593.41</v>
      </c>
    </row>
    <row r="170" spans="1:17" x14ac:dyDescent="0.3">
      <c r="A170">
        <v>4</v>
      </c>
      <c r="B170" t="s">
        <v>1128</v>
      </c>
      <c r="C170" t="s">
        <v>1105</v>
      </c>
      <c r="D170" s="1">
        <v>44736</v>
      </c>
      <c r="E170">
        <v>1561.67</v>
      </c>
      <c r="F170">
        <v>187.4</v>
      </c>
      <c r="G170">
        <v>78.08</v>
      </c>
      <c r="H170">
        <v>92.92</v>
      </c>
      <c r="I170">
        <v>25.46</v>
      </c>
      <c r="J170">
        <v>0</v>
      </c>
      <c r="K170">
        <v>1177.81</v>
      </c>
      <c r="L170">
        <v>92.92</v>
      </c>
      <c r="M170">
        <v>35.64</v>
      </c>
      <c r="N170">
        <v>0</v>
      </c>
      <c r="O170">
        <v>75</v>
      </c>
      <c r="P170" s="5">
        <f>DATE(YEAR(gusto_payroll_bc[[#This Row],[Pay_Date]]),MONTH(gusto_payroll_bc[[#This Row],[Pay_Date]]),1)</f>
        <v>44713</v>
      </c>
      <c r="Q170">
        <f t="shared" si="2"/>
        <v>1680.0500000000002</v>
      </c>
    </row>
    <row r="171" spans="1:17" x14ac:dyDescent="0.3">
      <c r="A171">
        <v>4</v>
      </c>
      <c r="B171" t="s">
        <v>1128</v>
      </c>
      <c r="C171" t="s">
        <v>1105</v>
      </c>
      <c r="D171" s="1">
        <v>44750</v>
      </c>
      <c r="E171">
        <v>1455.19</v>
      </c>
      <c r="F171">
        <v>174.62</v>
      </c>
      <c r="G171">
        <v>72.760000000000005</v>
      </c>
      <c r="H171">
        <v>86.58</v>
      </c>
      <c r="I171">
        <v>23.72</v>
      </c>
      <c r="J171">
        <v>0</v>
      </c>
      <c r="K171">
        <v>1097.51</v>
      </c>
      <c r="L171">
        <v>86.58</v>
      </c>
      <c r="M171">
        <v>33.21</v>
      </c>
      <c r="N171">
        <v>0</v>
      </c>
      <c r="O171">
        <v>75</v>
      </c>
      <c r="P171" s="5">
        <f>DATE(YEAR(gusto_payroll_bc[[#This Row],[Pay_Date]]),MONTH(gusto_payroll_bc[[#This Row],[Pay_Date]]),1)</f>
        <v>44743</v>
      </c>
      <c r="Q171">
        <f t="shared" si="2"/>
        <v>1565.49</v>
      </c>
    </row>
    <row r="172" spans="1:17" x14ac:dyDescent="0.3">
      <c r="A172">
        <v>4</v>
      </c>
      <c r="B172" t="s">
        <v>1128</v>
      </c>
      <c r="C172" t="s">
        <v>1105</v>
      </c>
      <c r="D172" s="1">
        <v>44764</v>
      </c>
      <c r="E172">
        <v>1512.9</v>
      </c>
      <c r="F172">
        <v>181.55</v>
      </c>
      <c r="G172">
        <v>75.64</v>
      </c>
      <c r="H172">
        <v>90.02</v>
      </c>
      <c r="I172">
        <v>24.66</v>
      </c>
      <c r="J172">
        <v>0</v>
      </c>
      <c r="K172">
        <v>1141.03</v>
      </c>
      <c r="L172">
        <v>90.02</v>
      </c>
      <c r="M172">
        <v>34.520000000000003</v>
      </c>
      <c r="N172">
        <v>0</v>
      </c>
      <c r="O172">
        <v>75</v>
      </c>
      <c r="P172" s="5">
        <f>DATE(YEAR(gusto_payroll_bc[[#This Row],[Pay_Date]]),MONTH(gusto_payroll_bc[[#This Row],[Pay_Date]]),1)</f>
        <v>44743</v>
      </c>
      <c r="Q172">
        <f t="shared" si="2"/>
        <v>1627.5800000000002</v>
      </c>
    </row>
    <row r="173" spans="1:17" x14ac:dyDescent="0.3">
      <c r="A173">
        <v>4</v>
      </c>
      <c r="B173" t="s">
        <v>1128</v>
      </c>
      <c r="C173" t="s">
        <v>1105</v>
      </c>
      <c r="D173" s="1">
        <v>44778</v>
      </c>
      <c r="E173">
        <v>1489.53</v>
      </c>
      <c r="F173">
        <v>178.74</v>
      </c>
      <c r="G173">
        <v>74.48</v>
      </c>
      <c r="H173">
        <v>88.63</v>
      </c>
      <c r="I173">
        <v>24.28</v>
      </c>
      <c r="J173">
        <v>0</v>
      </c>
      <c r="K173">
        <v>1123.4100000000001</v>
      </c>
      <c r="L173">
        <v>88.63</v>
      </c>
      <c r="M173">
        <v>33.99</v>
      </c>
      <c r="N173">
        <v>0</v>
      </c>
      <c r="O173">
        <v>75</v>
      </c>
      <c r="P173" s="5">
        <f>DATE(YEAR(gusto_payroll_bc[[#This Row],[Pay_Date]]),MONTH(gusto_payroll_bc[[#This Row],[Pay_Date]]),1)</f>
        <v>44774</v>
      </c>
      <c r="Q173">
        <f t="shared" si="2"/>
        <v>1602.4399999999998</v>
      </c>
    </row>
    <row r="174" spans="1:17" x14ac:dyDescent="0.3">
      <c r="A174">
        <v>4</v>
      </c>
      <c r="B174" t="s">
        <v>1128</v>
      </c>
      <c r="C174" t="s">
        <v>1105</v>
      </c>
      <c r="D174" s="1">
        <v>44792</v>
      </c>
      <c r="E174">
        <v>1526.76</v>
      </c>
      <c r="F174">
        <v>183.21</v>
      </c>
      <c r="G174">
        <v>76.34</v>
      </c>
      <c r="H174">
        <v>90.84</v>
      </c>
      <c r="I174">
        <v>24.89</v>
      </c>
      <c r="J174">
        <v>0</v>
      </c>
      <c r="K174">
        <v>1151.48</v>
      </c>
      <c r="L174">
        <v>90.84</v>
      </c>
      <c r="M174">
        <v>34.840000000000003</v>
      </c>
      <c r="N174">
        <v>0</v>
      </c>
      <c r="O174">
        <v>75</v>
      </c>
      <c r="P174" s="5">
        <f>DATE(YEAR(gusto_payroll_bc[[#This Row],[Pay_Date]]),MONTH(gusto_payroll_bc[[#This Row],[Pay_Date]]),1)</f>
        <v>44774</v>
      </c>
      <c r="Q174">
        <f t="shared" si="2"/>
        <v>1642.49</v>
      </c>
    </row>
    <row r="175" spans="1:17" x14ac:dyDescent="0.3">
      <c r="A175">
        <v>4</v>
      </c>
      <c r="B175" t="s">
        <v>1128</v>
      </c>
      <c r="C175" t="s">
        <v>1105</v>
      </c>
      <c r="D175" s="1">
        <v>44806</v>
      </c>
      <c r="E175">
        <v>1519.8</v>
      </c>
      <c r="F175">
        <v>182.38</v>
      </c>
      <c r="G175">
        <v>75.989999999999995</v>
      </c>
      <c r="H175">
        <v>90.43</v>
      </c>
      <c r="I175">
        <v>24.77</v>
      </c>
      <c r="J175">
        <v>0</v>
      </c>
      <c r="K175">
        <v>1146.24</v>
      </c>
      <c r="L175">
        <v>90.43</v>
      </c>
      <c r="M175">
        <v>34.68</v>
      </c>
      <c r="N175">
        <v>0</v>
      </c>
      <c r="O175">
        <v>75</v>
      </c>
      <c r="P175" s="5">
        <f>DATE(YEAR(gusto_payroll_bc[[#This Row],[Pay_Date]]),MONTH(gusto_payroll_bc[[#This Row],[Pay_Date]]),1)</f>
        <v>44805</v>
      </c>
      <c r="Q175">
        <f t="shared" si="2"/>
        <v>1635</v>
      </c>
    </row>
    <row r="176" spans="1:17" x14ac:dyDescent="0.3">
      <c r="A176">
        <v>4</v>
      </c>
      <c r="B176" t="s">
        <v>1128</v>
      </c>
      <c r="C176" t="s">
        <v>1105</v>
      </c>
      <c r="D176" s="1">
        <v>44820</v>
      </c>
      <c r="E176">
        <v>1532.45</v>
      </c>
      <c r="F176">
        <v>183.89</v>
      </c>
      <c r="G176">
        <v>76.62</v>
      </c>
      <c r="H176">
        <v>91.18</v>
      </c>
      <c r="I176">
        <v>24.98</v>
      </c>
      <c r="J176">
        <v>0</v>
      </c>
      <c r="K176">
        <v>1155.77</v>
      </c>
      <c r="L176">
        <v>91.18</v>
      </c>
      <c r="M176">
        <v>34.97</v>
      </c>
      <c r="N176">
        <v>0</v>
      </c>
      <c r="O176">
        <v>75</v>
      </c>
      <c r="P176" s="5">
        <f>DATE(YEAR(gusto_payroll_bc[[#This Row],[Pay_Date]]),MONTH(gusto_payroll_bc[[#This Row],[Pay_Date]]),1)</f>
        <v>44805</v>
      </c>
      <c r="Q176">
        <f t="shared" si="2"/>
        <v>1648.6100000000001</v>
      </c>
    </row>
    <row r="177" spans="1:17" x14ac:dyDescent="0.3">
      <c r="A177">
        <v>4</v>
      </c>
      <c r="B177" t="s">
        <v>1128</v>
      </c>
      <c r="C177" t="s">
        <v>1105</v>
      </c>
      <c r="D177" s="1">
        <v>44834</v>
      </c>
      <c r="E177">
        <v>1443.27</v>
      </c>
      <c r="F177">
        <v>173.19</v>
      </c>
      <c r="G177">
        <v>72.16</v>
      </c>
      <c r="H177">
        <v>85.87</v>
      </c>
      <c r="I177">
        <v>23.53</v>
      </c>
      <c r="J177">
        <v>0</v>
      </c>
      <c r="K177">
        <v>1088.51</v>
      </c>
      <c r="L177">
        <v>85.87</v>
      </c>
      <c r="M177">
        <v>32.94</v>
      </c>
      <c r="N177">
        <v>0</v>
      </c>
      <c r="O177">
        <v>75</v>
      </c>
      <c r="P177" s="5">
        <f>DATE(YEAR(gusto_payroll_bc[[#This Row],[Pay_Date]]),MONTH(gusto_payroll_bc[[#This Row],[Pay_Date]]),1)</f>
        <v>44805</v>
      </c>
      <c r="Q177">
        <f t="shared" si="2"/>
        <v>1552.6699999999998</v>
      </c>
    </row>
    <row r="178" spans="1:17" x14ac:dyDescent="0.3">
      <c r="A178">
        <v>4</v>
      </c>
      <c r="B178" t="s">
        <v>1128</v>
      </c>
      <c r="C178" t="s">
        <v>1105</v>
      </c>
      <c r="D178" s="1">
        <v>44848</v>
      </c>
      <c r="E178">
        <v>1534.4</v>
      </c>
      <c r="F178">
        <v>184.13</v>
      </c>
      <c r="G178">
        <v>76.72</v>
      </c>
      <c r="H178">
        <v>91.3</v>
      </c>
      <c r="I178">
        <v>25.01</v>
      </c>
      <c r="J178">
        <v>0</v>
      </c>
      <c r="K178">
        <v>1157.24</v>
      </c>
      <c r="L178">
        <v>91.3</v>
      </c>
      <c r="M178">
        <v>35.01</v>
      </c>
      <c r="N178">
        <v>0</v>
      </c>
      <c r="O178">
        <v>75</v>
      </c>
      <c r="P178" s="5">
        <f>DATE(YEAR(gusto_payroll_bc[[#This Row],[Pay_Date]]),MONTH(gusto_payroll_bc[[#This Row],[Pay_Date]]),1)</f>
        <v>44835</v>
      </c>
      <c r="Q178">
        <f t="shared" si="2"/>
        <v>1650.71</v>
      </c>
    </row>
    <row r="179" spans="1:17" x14ac:dyDescent="0.3">
      <c r="A179">
        <v>4</v>
      </c>
      <c r="B179" t="s">
        <v>1128</v>
      </c>
      <c r="C179" t="s">
        <v>1105</v>
      </c>
      <c r="D179" s="1">
        <v>44862</v>
      </c>
      <c r="E179">
        <v>1367.6</v>
      </c>
      <c r="F179">
        <v>164.11</v>
      </c>
      <c r="G179">
        <v>68.38</v>
      </c>
      <c r="H179">
        <v>81.37</v>
      </c>
      <c r="I179">
        <v>22.29</v>
      </c>
      <c r="J179">
        <v>0</v>
      </c>
      <c r="K179">
        <v>1031.44</v>
      </c>
      <c r="L179">
        <v>81.37</v>
      </c>
      <c r="M179">
        <v>31.21</v>
      </c>
      <c r="N179">
        <v>0</v>
      </c>
      <c r="O179">
        <v>75</v>
      </c>
      <c r="P179" s="5">
        <f>DATE(YEAR(gusto_payroll_bc[[#This Row],[Pay_Date]]),MONTH(gusto_payroll_bc[[#This Row],[Pay_Date]]),1)</f>
        <v>44835</v>
      </c>
      <c r="Q179">
        <f t="shared" si="2"/>
        <v>1471.2599999999998</v>
      </c>
    </row>
    <row r="180" spans="1:17" x14ac:dyDescent="0.3">
      <c r="A180">
        <v>4</v>
      </c>
      <c r="B180" t="s">
        <v>1128</v>
      </c>
      <c r="C180" t="s">
        <v>1105</v>
      </c>
      <c r="D180" s="1">
        <v>44876</v>
      </c>
      <c r="E180">
        <v>1451.08</v>
      </c>
      <c r="F180">
        <v>174.13</v>
      </c>
      <c r="G180">
        <v>72.55</v>
      </c>
      <c r="H180">
        <v>86.34</v>
      </c>
      <c r="I180">
        <v>23.65</v>
      </c>
      <c r="J180">
        <v>0</v>
      </c>
      <c r="K180">
        <v>1094.4000000000001</v>
      </c>
      <c r="L180">
        <v>86.34</v>
      </c>
      <c r="M180">
        <v>33.11</v>
      </c>
      <c r="N180">
        <v>0</v>
      </c>
      <c r="O180">
        <v>75</v>
      </c>
      <c r="P180" s="5">
        <f>DATE(YEAR(gusto_payroll_bc[[#This Row],[Pay_Date]]),MONTH(gusto_payroll_bc[[#This Row],[Pay_Date]]),1)</f>
        <v>44866</v>
      </c>
      <c r="Q180">
        <f t="shared" si="2"/>
        <v>1561.07</v>
      </c>
    </row>
    <row r="181" spans="1:17" x14ac:dyDescent="0.3">
      <c r="A181">
        <v>4</v>
      </c>
      <c r="B181" t="s">
        <v>1128</v>
      </c>
      <c r="C181" t="s">
        <v>1105</v>
      </c>
      <c r="D181" s="1">
        <v>44890</v>
      </c>
      <c r="E181">
        <v>1473.14</v>
      </c>
      <c r="F181">
        <v>176.78</v>
      </c>
      <c r="G181">
        <v>73.66</v>
      </c>
      <c r="H181">
        <v>87.65</v>
      </c>
      <c r="I181">
        <v>24.01</v>
      </c>
      <c r="J181">
        <v>0</v>
      </c>
      <c r="K181">
        <v>1111.04</v>
      </c>
      <c r="L181">
        <v>87.65</v>
      </c>
      <c r="M181">
        <v>33.619999999999997</v>
      </c>
      <c r="N181">
        <v>0</v>
      </c>
      <c r="O181">
        <v>75</v>
      </c>
      <c r="P181" s="5">
        <f>DATE(YEAR(gusto_payroll_bc[[#This Row],[Pay_Date]]),MONTH(gusto_payroll_bc[[#This Row],[Pay_Date]]),1)</f>
        <v>44866</v>
      </c>
      <c r="Q181">
        <f t="shared" si="2"/>
        <v>1584.8000000000002</v>
      </c>
    </row>
    <row r="182" spans="1:17" x14ac:dyDescent="0.3">
      <c r="A182">
        <v>4</v>
      </c>
      <c r="B182" t="s">
        <v>1128</v>
      </c>
      <c r="C182" t="s">
        <v>1105</v>
      </c>
      <c r="D182" s="1">
        <v>44904</v>
      </c>
      <c r="E182">
        <v>1418.04</v>
      </c>
      <c r="F182">
        <v>170.17</v>
      </c>
      <c r="G182">
        <v>70.900000000000006</v>
      </c>
      <c r="H182">
        <v>84.37</v>
      </c>
      <c r="I182">
        <v>23.11</v>
      </c>
      <c r="J182">
        <v>0</v>
      </c>
      <c r="K182">
        <v>1069.49</v>
      </c>
      <c r="L182">
        <v>84.37</v>
      </c>
      <c r="M182">
        <v>32.36</v>
      </c>
      <c r="N182">
        <v>0</v>
      </c>
      <c r="O182">
        <v>75</v>
      </c>
      <c r="P182" s="5">
        <f>DATE(YEAR(gusto_payroll_bc[[#This Row],[Pay_Date]]),MONTH(gusto_payroll_bc[[#This Row],[Pay_Date]]),1)</f>
        <v>44896</v>
      </c>
      <c r="Q182">
        <f t="shared" si="2"/>
        <v>1525.5199999999998</v>
      </c>
    </row>
    <row r="183" spans="1:17" x14ac:dyDescent="0.3">
      <c r="A183">
        <v>4</v>
      </c>
      <c r="B183" t="s">
        <v>1128</v>
      </c>
      <c r="C183" t="s">
        <v>1105</v>
      </c>
      <c r="D183" s="1">
        <v>44918</v>
      </c>
      <c r="E183">
        <v>1414.38</v>
      </c>
      <c r="F183">
        <v>169.73</v>
      </c>
      <c r="G183">
        <v>70.72</v>
      </c>
      <c r="H183">
        <v>84.16</v>
      </c>
      <c r="I183">
        <v>23.05</v>
      </c>
      <c r="J183">
        <v>0</v>
      </c>
      <c r="K183">
        <v>1066.73</v>
      </c>
      <c r="L183">
        <v>84.16</v>
      </c>
      <c r="M183">
        <v>32.28</v>
      </c>
      <c r="N183">
        <v>0</v>
      </c>
      <c r="O183">
        <v>75</v>
      </c>
      <c r="P183" s="5">
        <f>DATE(YEAR(gusto_payroll_bc[[#This Row],[Pay_Date]]),MONTH(gusto_payroll_bc[[#This Row],[Pay_Date]]),1)</f>
        <v>44896</v>
      </c>
      <c r="Q183">
        <f t="shared" si="2"/>
        <v>1521.5900000000001</v>
      </c>
    </row>
    <row r="184" spans="1:17" x14ac:dyDescent="0.3">
      <c r="A184">
        <v>4</v>
      </c>
      <c r="B184" t="s">
        <v>1128</v>
      </c>
      <c r="C184" t="s">
        <v>1105</v>
      </c>
      <c r="D184" s="1">
        <v>44932</v>
      </c>
      <c r="E184">
        <v>1520.76</v>
      </c>
      <c r="F184">
        <v>182.49</v>
      </c>
      <c r="G184">
        <v>76.040000000000006</v>
      </c>
      <c r="H184">
        <v>90.48</v>
      </c>
      <c r="I184">
        <v>24.79</v>
      </c>
      <c r="J184">
        <v>0</v>
      </c>
      <c r="K184">
        <v>1146.95</v>
      </c>
      <c r="L184">
        <v>90.48</v>
      </c>
      <c r="M184">
        <v>34.700000000000003</v>
      </c>
      <c r="N184">
        <v>0</v>
      </c>
      <c r="O184">
        <v>75</v>
      </c>
      <c r="P184" s="5">
        <f>DATE(YEAR(gusto_payroll_bc[[#This Row],[Pay_Date]]),MONTH(gusto_payroll_bc[[#This Row],[Pay_Date]]),1)</f>
        <v>44927</v>
      </c>
      <c r="Q184">
        <f t="shared" si="2"/>
        <v>1636.03</v>
      </c>
    </row>
    <row r="185" spans="1:17" x14ac:dyDescent="0.3">
      <c r="A185">
        <v>4</v>
      </c>
      <c r="B185" t="s">
        <v>1128</v>
      </c>
      <c r="C185" t="s">
        <v>1105</v>
      </c>
      <c r="D185" s="1">
        <v>44946</v>
      </c>
      <c r="E185">
        <v>1480.02</v>
      </c>
      <c r="F185">
        <v>177.6</v>
      </c>
      <c r="G185">
        <v>74</v>
      </c>
      <c r="H185">
        <v>88.06</v>
      </c>
      <c r="I185">
        <v>24.12</v>
      </c>
      <c r="J185">
        <v>0</v>
      </c>
      <c r="K185">
        <v>1116.23</v>
      </c>
      <c r="L185">
        <v>88.06</v>
      </c>
      <c r="M185">
        <v>33.770000000000003</v>
      </c>
      <c r="N185">
        <v>0</v>
      </c>
      <c r="O185">
        <v>75</v>
      </c>
      <c r="P185" s="5">
        <f>DATE(YEAR(gusto_payroll_bc[[#This Row],[Pay_Date]]),MONTH(gusto_payroll_bc[[#This Row],[Pay_Date]]),1)</f>
        <v>44927</v>
      </c>
      <c r="Q185">
        <f t="shared" si="2"/>
        <v>1592.1999999999998</v>
      </c>
    </row>
    <row r="186" spans="1:17" x14ac:dyDescent="0.3">
      <c r="A186">
        <v>4</v>
      </c>
      <c r="B186" t="s">
        <v>1128</v>
      </c>
      <c r="C186" t="s">
        <v>1105</v>
      </c>
      <c r="D186" s="1">
        <v>44960</v>
      </c>
      <c r="E186">
        <v>1410.4</v>
      </c>
      <c r="F186">
        <v>169.25</v>
      </c>
      <c r="G186">
        <v>70.52</v>
      </c>
      <c r="H186">
        <v>83.92</v>
      </c>
      <c r="I186">
        <v>22.99</v>
      </c>
      <c r="J186">
        <v>0</v>
      </c>
      <c r="K186">
        <v>1063.73</v>
      </c>
      <c r="L186">
        <v>83.92</v>
      </c>
      <c r="M186">
        <v>32.19</v>
      </c>
      <c r="N186">
        <v>0</v>
      </c>
      <c r="O186">
        <v>75</v>
      </c>
      <c r="P186" s="5">
        <f>DATE(YEAR(gusto_payroll_bc[[#This Row],[Pay_Date]]),MONTH(gusto_payroll_bc[[#This Row],[Pay_Date]]),1)</f>
        <v>44958</v>
      </c>
      <c r="Q186">
        <f t="shared" si="2"/>
        <v>1517.3100000000002</v>
      </c>
    </row>
    <row r="187" spans="1:17" x14ac:dyDescent="0.3">
      <c r="A187">
        <v>4</v>
      </c>
      <c r="B187" t="s">
        <v>1128</v>
      </c>
      <c r="C187" t="s">
        <v>1105</v>
      </c>
      <c r="D187" s="1">
        <v>44974</v>
      </c>
      <c r="E187">
        <v>1488.66</v>
      </c>
      <c r="F187">
        <v>178.64</v>
      </c>
      <c r="G187">
        <v>74.430000000000007</v>
      </c>
      <c r="H187">
        <v>88.58</v>
      </c>
      <c r="I187">
        <v>24.27</v>
      </c>
      <c r="J187">
        <v>0</v>
      </c>
      <c r="K187">
        <v>1122.75</v>
      </c>
      <c r="L187">
        <v>88.58</v>
      </c>
      <c r="M187">
        <v>33.97</v>
      </c>
      <c r="N187">
        <v>0</v>
      </c>
      <c r="O187">
        <v>75</v>
      </c>
      <c r="P187" s="5">
        <f>DATE(YEAR(gusto_payroll_bc[[#This Row],[Pay_Date]]),MONTH(gusto_payroll_bc[[#This Row],[Pay_Date]]),1)</f>
        <v>44958</v>
      </c>
      <c r="Q187">
        <f t="shared" si="2"/>
        <v>1601.51</v>
      </c>
    </row>
    <row r="188" spans="1:17" x14ac:dyDescent="0.3">
      <c r="A188">
        <v>4</v>
      </c>
      <c r="B188" t="s">
        <v>1128</v>
      </c>
      <c r="C188" t="s">
        <v>1105</v>
      </c>
      <c r="D188" s="1">
        <v>44988</v>
      </c>
      <c r="E188">
        <v>1560.35</v>
      </c>
      <c r="F188">
        <v>187.24</v>
      </c>
      <c r="G188">
        <v>78.02</v>
      </c>
      <c r="H188">
        <v>92.84</v>
      </c>
      <c r="I188">
        <v>25.43</v>
      </c>
      <c r="J188">
        <v>0</v>
      </c>
      <c r="K188">
        <v>1176.81</v>
      </c>
      <c r="L188">
        <v>92.84</v>
      </c>
      <c r="M188">
        <v>35.61</v>
      </c>
      <c r="N188">
        <v>0</v>
      </c>
      <c r="O188">
        <v>75</v>
      </c>
      <c r="P188" s="5">
        <f>DATE(YEAR(gusto_payroll_bc[[#This Row],[Pay_Date]]),MONTH(gusto_payroll_bc[[#This Row],[Pay_Date]]),1)</f>
        <v>44986</v>
      </c>
      <c r="Q188">
        <f t="shared" si="2"/>
        <v>1678.62</v>
      </c>
    </row>
    <row r="189" spans="1:17" x14ac:dyDescent="0.3">
      <c r="A189">
        <v>4</v>
      </c>
      <c r="B189" t="s">
        <v>1128</v>
      </c>
      <c r="C189" t="s">
        <v>1105</v>
      </c>
      <c r="D189" s="1">
        <v>45002</v>
      </c>
      <c r="E189">
        <v>1418.2</v>
      </c>
      <c r="F189">
        <v>170.18</v>
      </c>
      <c r="G189">
        <v>70.91</v>
      </c>
      <c r="H189">
        <v>84.38</v>
      </c>
      <c r="I189">
        <v>23.12</v>
      </c>
      <c r="J189">
        <v>0</v>
      </c>
      <c r="K189">
        <v>1069.6099999999999</v>
      </c>
      <c r="L189">
        <v>84.38</v>
      </c>
      <c r="M189">
        <v>32.36</v>
      </c>
      <c r="N189">
        <v>0</v>
      </c>
      <c r="O189">
        <v>75</v>
      </c>
      <c r="P189" s="5">
        <f>DATE(YEAR(gusto_payroll_bc[[#This Row],[Pay_Date]]),MONTH(gusto_payroll_bc[[#This Row],[Pay_Date]]),1)</f>
        <v>44986</v>
      </c>
      <c r="Q189">
        <f t="shared" si="2"/>
        <v>1525.6999999999998</v>
      </c>
    </row>
    <row r="190" spans="1:17" x14ac:dyDescent="0.3">
      <c r="A190">
        <v>4</v>
      </c>
      <c r="B190" t="s">
        <v>1128</v>
      </c>
      <c r="C190" t="s">
        <v>1105</v>
      </c>
      <c r="D190" s="1">
        <v>45016</v>
      </c>
      <c r="E190">
        <v>1470.63</v>
      </c>
      <c r="F190">
        <v>176.48</v>
      </c>
      <c r="G190">
        <v>73.53</v>
      </c>
      <c r="H190">
        <v>87.5</v>
      </c>
      <c r="I190">
        <v>23.97</v>
      </c>
      <c r="J190">
        <v>0</v>
      </c>
      <c r="K190">
        <v>1109.1500000000001</v>
      </c>
      <c r="L190">
        <v>87.5</v>
      </c>
      <c r="M190">
        <v>33.56</v>
      </c>
      <c r="N190">
        <v>0</v>
      </c>
      <c r="O190">
        <v>75</v>
      </c>
      <c r="P190" s="5">
        <f>DATE(YEAR(gusto_payroll_bc[[#This Row],[Pay_Date]]),MONTH(gusto_payroll_bc[[#This Row],[Pay_Date]]),1)</f>
        <v>44986</v>
      </c>
      <c r="Q190">
        <f t="shared" si="2"/>
        <v>1582.1000000000001</v>
      </c>
    </row>
    <row r="191" spans="1:17" x14ac:dyDescent="0.3">
      <c r="A191">
        <v>4</v>
      </c>
      <c r="B191" t="s">
        <v>1128</v>
      </c>
      <c r="C191" t="s">
        <v>1105</v>
      </c>
      <c r="D191" s="1">
        <v>45030</v>
      </c>
      <c r="E191">
        <v>1445.14</v>
      </c>
      <c r="F191">
        <v>173.42</v>
      </c>
      <c r="G191">
        <v>72.260000000000005</v>
      </c>
      <c r="H191">
        <v>85.99</v>
      </c>
      <c r="I191">
        <v>23.56</v>
      </c>
      <c r="J191">
        <v>0</v>
      </c>
      <c r="K191">
        <v>1089.92</v>
      </c>
      <c r="L191">
        <v>85.99</v>
      </c>
      <c r="M191">
        <v>32.979999999999997</v>
      </c>
      <c r="N191">
        <v>0</v>
      </c>
      <c r="O191">
        <v>75</v>
      </c>
      <c r="P191" s="5">
        <f>DATE(YEAR(gusto_payroll_bc[[#This Row],[Pay_Date]]),MONTH(gusto_payroll_bc[[#This Row],[Pay_Date]]),1)</f>
        <v>45017</v>
      </c>
      <c r="Q191">
        <f t="shared" si="2"/>
        <v>1554.69</v>
      </c>
    </row>
    <row r="192" spans="1:17" x14ac:dyDescent="0.3">
      <c r="A192">
        <v>4</v>
      </c>
      <c r="B192" t="s">
        <v>1128</v>
      </c>
      <c r="C192" t="s">
        <v>1105</v>
      </c>
      <c r="D192" s="1">
        <v>45044</v>
      </c>
      <c r="E192">
        <v>1459.28</v>
      </c>
      <c r="F192">
        <v>175.11</v>
      </c>
      <c r="G192">
        <v>72.959999999999994</v>
      </c>
      <c r="H192">
        <v>86.83</v>
      </c>
      <c r="I192">
        <v>23.79</v>
      </c>
      <c r="J192">
        <v>0</v>
      </c>
      <c r="K192">
        <v>1100.5899999999999</v>
      </c>
      <c r="L192">
        <v>86.83</v>
      </c>
      <c r="M192">
        <v>33.299999999999997</v>
      </c>
      <c r="N192">
        <v>0</v>
      </c>
      <c r="O192">
        <v>75</v>
      </c>
      <c r="P192" s="5">
        <f>DATE(YEAR(gusto_payroll_bc[[#This Row],[Pay_Date]]),MONTH(gusto_payroll_bc[[#This Row],[Pay_Date]]),1)</f>
        <v>45017</v>
      </c>
      <c r="Q192">
        <f t="shared" si="2"/>
        <v>1569.8999999999999</v>
      </c>
    </row>
    <row r="193" spans="1:17" x14ac:dyDescent="0.3">
      <c r="A193">
        <v>4</v>
      </c>
      <c r="B193" t="s">
        <v>1128</v>
      </c>
      <c r="C193" t="s">
        <v>1105</v>
      </c>
      <c r="D193" s="1">
        <v>45058</v>
      </c>
      <c r="E193">
        <v>1557.26</v>
      </c>
      <c r="F193">
        <v>186.87</v>
      </c>
      <c r="G193">
        <v>77.86</v>
      </c>
      <c r="H193">
        <v>92.66</v>
      </c>
      <c r="I193">
        <v>25.38</v>
      </c>
      <c r="J193">
        <v>0</v>
      </c>
      <c r="K193">
        <v>1174.49</v>
      </c>
      <c r="L193">
        <v>92.66</v>
      </c>
      <c r="M193">
        <v>35.54</v>
      </c>
      <c r="N193">
        <v>0</v>
      </c>
      <c r="O193">
        <v>75</v>
      </c>
      <c r="P193" s="5">
        <f>DATE(YEAR(gusto_payroll_bc[[#This Row],[Pay_Date]]),MONTH(gusto_payroll_bc[[#This Row],[Pay_Date]]),1)</f>
        <v>45047</v>
      </c>
      <c r="Q193">
        <f t="shared" si="2"/>
        <v>1675.3000000000002</v>
      </c>
    </row>
    <row r="194" spans="1:17" x14ac:dyDescent="0.3">
      <c r="A194">
        <v>4</v>
      </c>
      <c r="B194" t="s">
        <v>1128</v>
      </c>
      <c r="C194" t="s">
        <v>1105</v>
      </c>
      <c r="D194" s="1">
        <v>45072</v>
      </c>
      <c r="E194">
        <v>1484.31</v>
      </c>
      <c r="F194">
        <v>178.12</v>
      </c>
      <c r="G194">
        <v>74.22</v>
      </c>
      <c r="H194">
        <v>88.32</v>
      </c>
      <c r="I194">
        <v>24.19</v>
      </c>
      <c r="J194">
        <v>0</v>
      </c>
      <c r="K194">
        <v>1119.46</v>
      </c>
      <c r="L194">
        <v>88.32</v>
      </c>
      <c r="M194">
        <v>33.869999999999997</v>
      </c>
      <c r="N194">
        <v>0</v>
      </c>
      <c r="O194">
        <v>75</v>
      </c>
      <c r="P194" s="5">
        <f>DATE(YEAR(gusto_payroll_bc[[#This Row],[Pay_Date]]),MONTH(gusto_payroll_bc[[#This Row],[Pay_Date]]),1)</f>
        <v>45047</v>
      </c>
      <c r="Q194">
        <f t="shared" ref="Q194:Q257" si="3">SUM(E194,H194,I194)</f>
        <v>1596.82</v>
      </c>
    </row>
    <row r="195" spans="1:17" x14ac:dyDescent="0.3">
      <c r="A195">
        <v>4</v>
      </c>
      <c r="B195" t="s">
        <v>1128</v>
      </c>
      <c r="C195" t="s">
        <v>1105</v>
      </c>
      <c r="D195" s="1">
        <v>45086</v>
      </c>
      <c r="E195">
        <v>1527.09</v>
      </c>
      <c r="F195">
        <v>183.25</v>
      </c>
      <c r="G195">
        <v>76.349999999999994</v>
      </c>
      <c r="H195">
        <v>90.86</v>
      </c>
      <c r="I195">
        <v>24.89</v>
      </c>
      <c r="J195">
        <v>0</v>
      </c>
      <c r="K195">
        <v>1151.73</v>
      </c>
      <c r="L195">
        <v>90.86</v>
      </c>
      <c r="M195">
        <v>34.85</v>
      </c>
      <c r="N195">
        <v>0</v>
      </c>
      <c r="O195">
        <v>75</v>
      </c>
      <c r="P195" s="5">
        <f>DATE(YEAR(gusto_payroll_bc[[#This Row],[Pay_Date]]),MONTH(gusto_payroll_bc[[#This Row],[Pay_Date]]),1)</f>
        <v>45078</v>
      </c>
      <c r="Q195">
        <f t="shared" si="3"/>
        <v>1642.84</v>
      </c>
    </row>
    <row r="196" spans="1:17" x14ac:dyDescent="0.3">
      <c r="A196">
        <v>4</v>
      </c>
      <c r="B196" t="s">
        <v>1128</v>
      </c>
      <c r="C196" t="s">
        <v>1105</v>
      </c>
      <c r="D196" s="1">
        <v>45100</v>
      </c>
      <c r="E196">
        <v>1499.09</v>
      </c>
      <c r="F196">
        <v>179.89</v>
      </c>
      <c r="G196">
        <v>74.95</v>
      </c>
      <c r="H196">
        <v>89.2</v>
      </c>
      <c r="I196">
        <v>24.44</v>
      </c>
      <c r="J196">
        <v>0</v>
      </c>
      <c r="K196">
        <v>1130.6099999999999</v>
      </c>
      <c r="L196">
        <v>89.2</v>
      </c>
      <c r="M196">
        <v>34.21</v>
      </c>
      <c r="N196">
        <v>0</v>
      </c>
      <c r="O196">
        <v>75</v>
      </c>
      <c r="P196" s="5">
        <f>DATE(YEAR(gusto_payroll_bc[[#This Row],[Pay_Date]]),MONTH(gusto_payroll_bc[[#This Row],[Pay_Date]]),1)</f>
        <v>45078</v>
      </c>
      <c r="Q196">
        <f t="shared" si="3"/>
        <v>1612.73</v>
      </c>
    </row>
    <row r="197" spans="1:17" x14ac:dyDescent="0.3">
      <c r="A197">
        <v>4</v>
      </c>
      <c r="B197" t="s">
        <v>1128</v>
      </c>
      <c r="C197" t="s">
        <v>1105</v>
      </c>
      <c r="D197" s="1">
        <v>45114</v>
      </c>
      <c r="E197">
        <v>1598.33</v>
      </c>
      <c r="F197">
        <v>191.8</v>
      </c>
      <c r="G197">
        <v>79.92</v>
      </c>
      <c r="H197">
        <v>95.1</v>
      </c>
      <c r="I197">
        <v>26.05</v>
      </c>
      <c r="J197">
        <v>0</v>
      </c>
      <c r="K197">
        <v>1205.46</v>
      </c>
      <c r="L197">
        <v>95.1</v>
      </c>
      <c r="M197">
        <v>36.47</v>
      </c>
      <c r="N197">
        <v>0</v>
      </c>
      <c r="O197">
        <v>75</v>
      </c>
      <c r="P197" s="5">
        <f>DATE(YEAR(gusto_payroll_bc[[#This Row],[Pay_Date]]),MONTH(gusto_payroll_bc[[#This Row],[Pay_Date]]),1)</f>
        <v>45108</v>
      </c>
      <c r="Q197">
        <f t="shared" si="3"/>
        <v>1719.4799999999998</v>
      </c>
    </row>
    <row r="198" spans="1:17" x14ac:dyDescent="0.3">
      <c r="A198">
        <v>4</v>
      </c>
      <c r="B198" t="s">
        <v>1128</v>
      </c>
      <c r="C198" t="s">
        <v>1105</v>
      </c>
      <c r="D198" s="1">
        <v>45128</v>
      </c>
      <c r="E198">
        <v>1549.42</v>
      </c>
      <c r="F198">
        <v>185.93</v>
      </c>
      <c r="G198">
        <v>77.47</v>
      </c>
      <c r="H198">
        <v>92.19</v>
      </c>
      <c r="I198">
        <v>25.26</v>
      </c>
      <c r="J198">
        <v>0</v>
      </c>
      <c r="K198">
        <v>1168.57</v>
      </c>
      <c r="L198">
        <v>92.19</v>
      </c>
      <c r="M198">
        <v>35.36</v>
      </c>
      <c r="N198">
        <v>0</v>
      </c>
      <c r="O198">
        <v>75</v>
      </c>
      <c r="P198" s="5">
        <f>DATE(YEAR(gusto_payroll_bc[[#This Row],[Pay_Date]]),MONTH(gusto_payroll_bc[[#This Row],[Pay_Date]]),1)</f>
        <v>45108</v>
      </c>
      <c r="Q198">
        <f t="shared" si="3"/>
        <v>1666.8700000000001</v>
      </c>
    </row>
    <row r="199" spans="1:17" x14ac:dyDescent="0.3">
      <c r="A199">
        <v>4</v>
      </c>
      <c r="B199" t="s">
        <v>1128</v>
      </c>
      <c r="C199" t="s">
        <v>1105</v>
      </c>
      <c r="D199" s="1">
        <v>45142</v>
      </c>
      <c r="E199">
        <v>1489.84</v>
      </c>
      <c r="F199">
        <v>178.78</v>
      </c>
      <c r="G199">
        <v>74.489999999999995</v>
      </c>
      <c r="H199">
        <v>88.65</v>
      </c>
      <c r="I199">
        <v>24.28</v>
      </c>
      <c r="J199">
        <v>0</v>
      </c>
      <c r="K199">
        <v>1123.6400000000001</v>
      </c>
      <c r="L199">
        <v>88.65</v>
      </c>
      <c r="M199">
        <v>34</v>
      </c>
      <c r="N199">
        <v>0</v>
      </c>
      <c r="O199">
        <v>75</v>
      </c>
      <c r="P199" s="5">
        <f>DATE(YEAR(gusto_payroll_bc[[#This Row],[Pay_Date]]),MONTH(gusto_payroll_bc[[#This Row],[Pay_Date]]),1)</f>
        <v>45139</v>
      </c>
      <c r="Q199">
        <f t="shared" si="3"/>
        <v>1602.77</v>
      </c>
    </row>
    <row r="200" spans="1:17" x14ac:dyDescent="0.3">
      <c r="A200">
        <v>4</v>
      </c>
      <c r="B200" t="s">
        <v>1128</v>
      </c>
      <c r="C200" t="s">
        <v>1105</v>
      </c>
      <c r="D200" s="1">
        <v>45156</v>
      </c>
      <c r="E200">
        <v>1513.26</v>
      </c>
      <c r="F200">
        <v>181.59</v>
      </c>
      <c r="G200">
        <v>75.66</v>
      </c>
      <c r="H200">
        <v>90.04</v>
      </c>
      <c r="I200">
        <v>24.67</v>
      </c>
      <c r="J200">
        <v>0</v>
      </c>
      <c r="K200">
        <v>1141.3</v>
      </c>
      <c r="L200">
        <v>90.04</v>
      </c>
      <c r="M200">
        <v>34.53</v>
      </c>
      <c r="N200">
        <v>0</v>
      </c>
      <c r="O200">
        <v>75</v>
      </c>
      <c r="P200" s="5">
        <f>DATE(YEAR(gusto_payroll_bc[[#This Row],[Pay_Date]]),MONTH(gusto_payroll_bc[[#This Row],[Pay_Date]]),1)</f>
        <v>45139</v>
      </c>
      <c r="Q200">
        <f t="shared" si="3"/>
        <v>1627.97</v>
      </c>
    </row>
    <row r="201" spans="1:17" x14ac:dyDescent="0.3">
      <c r="A201">
        <v>4</v>
      </c>
      <c r="B201" t="s">
        <v>1128</v>
      </c>
      <c r="C201" t="s">
        <v>1105</v>
      </c>
      <c r="D201" s="1">
        <v>45170</v>
      </c>
      <c r="E201">
        <v>1485.88</v>
      </c>
      <c r="F201">
        <v>178.31</v>
      </c>
      <c r="G201">
        <v>74.290000000000006</v>
      </c>
      <c r="H201">
        <v>88.41</v>
      </c>
      <c r="I201">
        <v>24.22</v>
      </c>
      <c r="J201">
        <v>0</v>
      </c>
      <c r="K201">
        <v>1120.6500000000001</v>
      </c>
      <c r="L201">
        <v>88.41</v>
      </c>
      <c r="M201">
        <v>33.909999999999997</v>
      </c>
      <c r="N201">
        <v>0</v>
      </c>
      <c r="O201">
        <v>75</v>
      </c>
      <c r="P201" s="5">
        <f>DATE(YEAR(gusto_payroll_bc[[#This Row],[Pay_Date]]),MONTH(gusto_payroll_bc[[#This Row],[Pay_Date]]),1)</f>
        <v>45170</v>
      </c>
      <c r="Q201">
        <f t="shared" si="3"/>
        <v>1598.5100000000002</v>
      </c>
    </row>
    <row r="202" spans="1:17" x14ac:dyDescent="0.3">
      <c r="A202">
        <v>4</v>
      </c>
      <c r="B202" t="s">
        <v>1128</v>
      </c>
      <c r="C202" t="s">
        <v>1105</v>
      </c>
      <c r="D202" s="1">
        <v>45184</v>
      </c>
      <c r="E202">
        <v>1560.62</v>
      </c>
      <c r="F202">
        <v>187.27</v>
      </c>
      <c r="G202">
        <v>78.03</v>
      </c>
      <c r="H202">
        <v>92.86</v>
      </c>
      <c r="I202">
        <v>25.44</v>
      </c>
      <c r="J202">
        <v>0</v>
      </c>
      <c r="K202">
        <v>1177.02</v>
      </c>
      <c r="L202">
        <v>92.86</v>
      </c>
      <c r="M202">
        <v>35.61</v>
      </c>
      <c r="N202">
        <v>0</v>
      </c>
      <c r="O202">
        <v>75</v>
      </c>
      <c r="P202" s="5">
        <f>DATE(YEAR(gusto_payroll_bc[[#This Row],[Pay_Date]]),MONTH(gusto_payroll_bc[[#This Row],[Pay_Date]]),1)</f>
        <v>45170</v>
      </c>
      <c r="Q202">
        <f t="shared" si="3"/>
        <v>1678.9199999999998</v>
      </c>
    </row>
    <row r="203" spans="1:17" x14ac:dyDescent="0.3">
      <c r="A203">
        <v>4</v>
      </c>
      <c r="B203" t="s">
        <v>1128</v>
      </c>
      <c r="C203" t="s">
        <v>1105</v>
      </c>
      <c r="D203" s="1">
        <v>45198</v>
      </c>
      <c r="E203">
        <v>1461.16</v>
      </c>
      <c r="F203">
        <v>175.34</v>
      </c>
      <c r="G203">
        <v>73.06</v>
      </c>
      <c r="H203">
        <v>86.94</v>
      </c>
      <c r="I203">
        <v>23.82</v>
      </c>
      <c r="J203">
        <v>0</v>
      </c>
      <c r="K203">
        <v>1102.01</v>
      </c>
      <c r="L203">
        <v>86.94</v>
      </c>
      <c r="M203">
        <v>33.340000000000003</v>
      </c>
      <c r="N203">
        <v>0</v>
      </c>
      <c r="O203">
        <v>75</v>
      </c>
      <c r="P203" s="5">
        <f>DATE(YEAR(gusto_payroll_bc[[#This Row],[Pay_Date]]),MONTH(gusto_payroll_bc[[#This Row],[Pay_Date]]),1)</f>
        <v>45170</v>
      </c>
      <c r="Q203">
        <f t="shared" si="3"/>
        <v>1571.92</v>
      </c>
    </row>
    <row r="204" spans="1:17" x14ac:dyDescent="0.3">
      <c r="A204">
        <v>4</v>
      </c>
      <c r="B204" t="s">
        <v>1128</v>
      </c>
      <c r="C204" t="s">
        <v>1105</v>
      </c>
      <c r="D204" s="1">
        <v>45212</v>
      </c>
      <c r="E204">
        <v>1518.54</v>
      </c>
      <c r="F204">
        <v>182.22</v>
      </c>
      <c r="G204">
        <v>75.930000000000007</v>
      </c>
      <c r="H204">
        <v>90.35</v>
      </c>
      <c r="I204">
        <v>24.75</v>
      </c>
      <c r="J204">
        <v>0</v>
      </c>
      <c r="K204">
        <v>1145.28</v>
      </c>
      <c r="L204">
        <v>90.35</v>
      </c>
      <c r="M204">
        <v>34.65</v>
      </c>
      <c r="N204">
        <v>0</v>
      </c>
      <c r="O204">
        <v>75</v>
      </c>
      <c r="P204" s="5">
        <f>DATE(YEAR(gusto_payroll_bc[[#This Row],[Pay_Date]]),MONTH(gusto_payroll_bc[[#This Row],[Pay_Date]]),1)</f>
        <v>45200</v>
      </c>
      <c r="Q204">
        <f t="shared" si="3"/>
        <v>1633.6399999999999</v>
      </c>
    </row>
    <row r="205" spans="1:17" x14ac:dyDescent="0.3">
      <c r="A205">
        <v>4</v>
      </c>
      <c r="B205" t="s">
        <v>1128</v>
      </c>
      <c r="C205" t="s">
        <v>1105</v>
      </c>
      <c r="D205" s="1">
        <v>45226</v>
      </c>
      <c r="E205">
        <v>1548.8</v>
      </c>
      <c r="F205">
        <v>185.86</v>
      </c>
      <c r="G205">
        <v>77.44</v>
      </c>
      <c r="H205">
        <v>92.15</v>
      </c>
      <c r="I205">
        <v>25.25</v>
      </c>
      <c r="J205">
        <v>0</v>
      </c>
      <c r="K205">
        <v>1168.1099999999999</v>
      </c>
      <c r="L205">
        <v>92.15</v>
      </c>
      <c r="M205">
        <v>35.340000000000003</v>
      </c>
      <c r="N205">
        <v>0</v>
      </c>
      <c r="O205">
        <v>75</v>
      </c>
      <c r="P205" s="5">
        <f>DATE(YEAR(gusto_payroll_bc[[#This Row],[Pay_Date]]),MONTH(gusto_payroll_bc[[#This Row],[Pay_Date]]),1)</f>
        <v>45200</v>
      </c>
      <c r="Q205">
        <f t="shared" si="3"/>
        <v>1666.2</v>
      </c>
    </row>
    <row r="206" spans="1:17" x14ac:dyDescent="0.3">
      <c r="A206">
        <v>4</v>
      </c>
      <c r="B206" t="s">
        <v>1128</v>
      </c>
      <c r="C206" t="s">
        <v>1105</v>
      </c>
      <c r="D206" s="1">
        <v>45240</v>
      </c>
      <c r="E206">
        <v>1490.99</v>
      </c>
      <c r="F206">
        <v>178.92</v>
      </c>
      <c r="G206">
        <v>74.55</v>
      </c>
      <c r="H206">
        <v>88.71</v>
      </c>
      <c r="I206">
        <v>24.3</v>
      </c>
      <c r="J206">
        <v>0</v>
      </c>
      <c r="K206">
        <v>1124.51</v>
      </c>
      <c r="L206">
        <v>88.71</v>
      </c>
      <c r="M206">
        <v>34.020000000000003</v>
      </c>
      <c r="N206">
        <v>0</v>
      </c>
      <c r="O206">
        <v>75</v>
      </c>
      <c r="P206" s="5">
        <f>DATE(YEAR(gusto_payroll_bc[[#This Row],[Pay_Date]]),MONTH(gusto_payroll_bc[[#This Row],[Pay_Date]]),1)</f>
        <v>45231</v>
      </c>
      <c r="Q206">
        <f t="shared" si="3"/>
        <v>1604</v>
      </c>
    </row>
    <row r="207" spans="1:17" x14ac:dyDescent="0.3">
      <c r="A207">
        <v>4</v>
      </c>
      <c r="B207" t="s">
        <v>1128</v>
      </c>
      <c r="C207" t="s">
        <v>1105</v>
      </c>
      <c r="D207" s="1">
        <v>45254</v>
      </c>
      <c r="E207">
        <v>1491.56</v>
      </c>
      <c r="F207">
        <v>178.99</v>
      </c>
      <c r="G207">
        <v>74.58</v>
      </c>
      <c r="H207">
        <v>88.75</v>
      </c>
      <c r="I207">
        <v>24.31</v>
      </c>
      <c r="J207">
        <v>0</v>
      </c>
      <c r="K207">
        <v>1124.93</v>
      </c>
      <c r="L207">
        <v>88.75</v>
      </c>
      <c r="M207">
        <v>34.04</v>
      </c>
      <c r="N207">
        <v>0</v>
      </c>
      <c r="O207">
        <v>75</v>
      </c>
      <c r="P207" s="5">
        <f>DATE(YEAR(gusto_payroll_bc[[#This Row],[Pay_Date]]),MONTH(gusto_payroll_bc[[#This Row],[Pay_Date]]),1)</f>
        <v>45231</v>
      </c>
      <c r="Q207">
        <f t="shared" si="3"/>
        <v>1604.62</v>
      </c>
    </row>
    <row r="208" spans="1:17" x14ac:dyDescent="0.3">
      <c r="A208">
        <v>4</v>
      </c>
      <c r="B208" t="s">
        <v>1128</v>
      </c>
      <c r="C208" t="s">
        <v>1105</v>
      </c>
      <c r="D208" s="1">
        <v>45268</v>
      </c>
      <c r="E208">
        <v>1502.39</v>
      </c>
      <c r="F208">
        <v>180.29</v>
      </c>
      <c r="G208">
        <v>75.12</v>
      </c>
      <c r="H208">
        <v>89.39</v>
      </c>
      <c r="I208">
        <v>24.49</v>
      </c>
      <c r="J208">
        <v>0</v>
      </c>
      <c r="K208">
        <v>1133.0999999999999</v>
      </c>
      <c r="L208">
        <v>89.39</v>
      </c>
      <c r="M208">
        <v>34.28</v>
      </c>
      <c r="N208">
        <v>0</v>
      </c>
      <c r="O208">
        <v>75</v>
      </c>
      <c r="P208" s="5">
        <f>DATE(YEAR(gusto_payroll_bc[[#This Row],[Pay_Date]]),MONTH(gusto_payroll_bc[[#This Row],[Pay_Date]]),1)</f>
        <v>45261</v>
      </c>
      <c r="Q208">
        <f t="shared" si="3"/>
        <v>1616.2700000000002</v>
      </c>
    </row>
    <row r="209" spans="1:17" x14ac:dyDescent="0.3">
      <c r="A209">
        <v>4</v>
      </c>
      <c r="B209" t="s">
        <v>1128</v>
      </c>
      <c r="C209" t="s">
        <v>1105</v>
      </c>
      <c r="D209" s="1">
        <v>45282</v>
      </c>
      <c r="E209">
        <v>1470.34</v>
      </c>
      <c r="F209">
        <v>176.44</v>
      </c>
      <c r="G209">
        <v>73.52</v>
      </c>
      <c r="H209">
        <v>87.49</v>
      </c>
      <c r="I209">
        <v>23.97</v>
      </c>
      <c r="J209">
        <v>0</v>
      </c>
      <c r="K209">
        <v>1108.93</v>
      </c>
      <c r="L209">
        <v>87.49</v>
      </c>
      <c r="M209">
        <v>33.549999999999997</v>
      </c>
      <c r="N209">
        <v>0</v>
      </c>
      <c r="O209">
        <v>75</v>
      </c>
      <c r="P209" s="5">
        <f>DATE(YEAR(gusto_payroll_bc[[#This Row],[Pay_Date]]),MONTH(gusto_payroll_bc[[#This Row],[Pay_Date]]),1)</f>
        <v>45261</v>
      </c>
      <c r="Q209">
        <f t="shared" si="3"/>
        <v>1581.8</v>
      </c>
    </row>
    <row r="210" spans="1:17" x14ac:dyDescent="0.3">
      <c r="A210">
        <v>5</v>
      </c>
      <c r="B210" t="s">
        <v>1129</v>
      </c>
      <c r="C210" t="s">
        <v>1130</v>
      </c>
      <c r="D210" s="1">
        <v>44568</v>
      </c>
      <c r="E210">
        <v>1365.38</v>
      </c>
      <c r="F210">
        <v>136.54</v>
      </c>
      <c r="G210">
        <v>54.62</v>
      </c>
      <c r="H210">
        <v>0</v>
      </c>
      <c r="I210">
        <v>0</v>
      </c>
      <c r="J210">
        <v>0</v>
      </c>
      <c r="K210">
        <v>1174.23</v>
      </c>
      <c r="L210">
        <v>0</v>
      </c>
      <c r="M210">
        <v>0</v>
      </c>
      <c r="N210">
        <v>0</v>
      </c>
      <c r="O210">
        <v>0</v>
      </c>
      <c r="P210" s="5">
        <f>DATE(YEAR(gusto_payroll_bc[[#This Row],[Pay_Date]]),MONTH(gusto_payroll_bc[[#This Row],[Pay_Date]]),1)</f>
        <v>44562</v>
      </c>
      <c r="Q210">
        <f t="shared" si="3"/>
        <v>1365.38</v>
      </c>
    </row>
    <row r="211" spans="1:17" x14ac:dyDescent="0.3">
      <c r="A211">
        <v>5</v>
      </c>
      <c r="B211" t="s">
        <v>1129</v>
      </c>
      <c r="C211" t="s">
        <v>1130</v>
      </c>
      <c r="D211" s="1">
        <v>44582</v>
      </c>
      <c r="E211">
        <v>1447.06</v>
      </c>
      <c r="F211">
        <v>144.71</v>
      </c>
      <c r="G211">
        <v>57.88</v>
      </c>
      <c r="H211">
        <v>0</v>
      </c>
      <c r="I211">
        <v>0</v>
      </c>
      <c r="J211">
        <v>0</v>
      </c>
      <c r="K211">
        <v>1244.47</v>
      </c>
      <c r="L211">
        <v>0</v>
      </c>
      <c r="M211">
        <v>0</v>
      </c>
      <c r="N211">
        <v>0</v>
      </c>
      <c r="O211">
        <v>0</v>
      </c>
      <c r="P211" s="5">
        <f>DATE(YEAR(gusto_payroll_bc[[#This Row],[Pay_Date]]),MONTH(gusto_payroll_bc[[#This Row],[Pay_Date]]),1)</f>
        <v>44562</v>
      </c>
      <c r="Q211">
        <f t="shared" si="3"/>
        <v>1447.06</v>
      </c>
    </row>
    <row r="212" spans="1:17" x14ac:dyDescent="0.3">
      <c r="A212">
        <v>5</v>
      </c>
      <c r="B212" t="s">
        <v>1129</v>
      </c>
      <c r="C212" t="s">
        <v>1130</v>
      </c>
      <c r="D212" s="1">
        <v>44596</v>
      </c>
      <c r="E212">
        <v>1399.9</v>
      </c>
      <c r="F212">
        <v>139.99</v>
      </c>
      <c r="G212">
        <v>56</v>
      </c>
      <c r="H212">
        <v>0</v>
      </c>
      <c r="I212">
        <v>0</v>
      </c>
      <c r="J212">
        <v>0</v>
      </c>
      <c r="K212">
        <v>1203.9100000000001</v>
      </c>
      <c r="L212">
        <v>0</v>
      </c>
      <c r="M212">
        <v>0</v>
      </c>
      <c r="N212">
        <v>0</v>
      </c>
      <c r="O212">
        <v>0</v>
      </c>
      <c r="P212" s="5">
        <f>DATE(YEAR(gusto_payroll_bc[[#This Row],[Pay_Date]]),MONTH(gusto_payroll_bc[[#This Row],[Pay_Date]]),1)</f>
        <v>44593</v>
      </c>
      <c r="Q212">
        <f t="shared" si="3"/>
        <v>1399.9</v>
      </c>
    </row>
    <row r="213" spans="1:17" x14ac:dyDescent="0.3">
      <c r="A213">
        <v>5</v>
      </c>
      <c r="B213" t="s">
        <v>1129</v>
      </c>
      <c r="C213" t="s">
        <v>1130</v>
      </c>
      <c r="D213" s="1">
        <v>44610</v>
      </c>
      <c r="E213">
        <v>1369.62</v>
      </c>
      <c r="F213">
        <v>136.96</v>
      </c>
      <c r="G213">
        <v>54.78</v>
      </c>
      <c r="H213">
        <v>0</v>
      </c>
      <c r="I213">
        <v>0</v>
      </c>
      <c r="J213">
        <v>0</v>
      </c>
      <c r="K213">
        <v>1177.8699999999999</v>
      </c>
      <c r="L213">
        <v>0</v>
      </c>
      <c r="M213">
        <v>0</v>
      </c>
      <c r="N213">
        <v>0</v>
      </c>
      <c r="O213">
        <v>0</v>
      </c>
      <c r="P213" s="5">
        <f>DATE(YEAR(gusto_payroll_bc[[#This Row],[Pay_Date]]),MONTH(gusto_payroll_bc[[#This Row],[Pay_Date]]),1)</f>
        <v>44593</v>
      </c>
      <c r="Q213">
        <f t="shared" si="3"/>
        <v>1369.62</v>
      </c>
    </row>
    <row r="214" spans="1:17" x14ac:dyDescent="0.3">
      <c r="A214">
        <v>5</v>
      </c>
      <c r="B214" t="s">
        <v>1129</v>
      </c>
      <c r="C214" t="s">
        <v>1130</v>
      </c>
      <c r="D214" s="1">
        <v>44624</v>
      </c>
      <c r="E214">
        <v>1441.57</v>
      </c>
      <c r="F214">
        <v>144.16</v>
      </c>
      <c r="G214">
        <v>57.66</v>
      </c>
      <c r="H214">
        <v>0</v>
      </c>
      <c r="I214">
        <v>0</v>
      </c>
      <c r="J214">
        <v>0</v>
      </c>
      <c r="K214">
        <v>1239.75</v>
      </c>
      <c r="L214">
        <v>0</v>
      </c>
      <c r="M214">
        <v>0</v>
      </c>
      <c r="N214">
        <v>0</v>
      </c>
      <c r="O214">
        <v>0</v>
      </c>
      <c r="P214" s="5">
        <f>DATE(YEAR(gusto_payroll_bc[[#This Row],[Pay_Date]]),MONTH(gusto_payroll_bc[[#This Row],[Pay_Date]]),1)</f>
        <v>44621</v>
      </c>
      <c r="Q214">
        <f t="shared" si="3"/>
        <v>1441.57</v>
      </c>
    </row>
    <row r="215" spans="1:17" x14ac:dyDescent="0.3">
      <c r="A215">
        <v>5</v>
      </c>
      <c r="B215" t="s">
        <v>1129</v>
      </c>
      <c r="C215" t="s">
        <v>1130</v>
      </c>
      <c r="D215" s="1">
        <v>44638</v>
      </c>
      <c r="E215">
        <v>1416.04</v>
      </c>
      <c r="F215">
        <v>141.6</v>
      </c>
      <c r="G215">
        <v>56.64</v>
      </c>
      <c r="H215">
        <v>0</v>
      </c>
      <c r="I215">
        <v>0</v>
      </c>
      <c r="J215">
        <v>0</v>
      </c>
      <c r="K215">
        <v>1217.79</v>
      </c>
      <c r="L215">
        <v>0</v>
      </c>
      <c r="M215">
        <v>0</v>
      </c>
      <c r="N215">
        <v>0</v>
      </c>
      <c r="O215">
        <v>0</v>
      </c>
      <c r="P215" s="5">
        <f>DATE(YEAR(gusto_payroll_bc[[#This Row],[Pay_Date]]),MONTH(gusto_payroll_bc[[#This Row],[Pay_Date]]),1)</f>
        <v>44621</v>
      </c>
      <c r="Q215">
        <f t="shared" si="3"/>
        <v>1416.04</v>
      </c>
    </row>
    <row r="216" spans="1:17" x14ac:dyDescent="0.3">
      <c r="A216">
        <v>5</v>
      </c>
      <c r="B216" t="s">
        <v>1129</v>
      </c>
      <c r="C216" t="s">
        <v>1130</v>
      </c>
      <c r="D216" s="1">
        <v>44652</v>
      </c>
      <c r="E216">
        <v>1369.41</v>
      </c>
      <c r="F216">
        <v>136.94</v>
      </c>
      <c r="G216">
        <v>54.78</v>
      </c>
      <c r="H216">
        <v>0</v>
      </c>
      <c r="I216">
        <v>0</v>
      </c>
      <c r="J216">
        <v>0</v>
      </c>
      <c r="K216">
        <v>1177.69</v>
      </c>
      <c r="L216">
        <v>0</v>
      </c>
      <c r="M216">
        <v>0</v>
      </c>
      <c r="N216">
        <v>0</v>
      </c>
      <c r="O216">
        <v>0</v>
      </c>
      <c r="P216" s="5">
        <f>DATE(YEAR(gusto_payroll_bc[[#This Row],[Pay_Date]]),MONTH(gusto_payroll_bc[[#This Row],[Pay_Date]]),1)</f>
        <v>44652</v>
      </c>
      <c r="Q216">
        <f t="shared" si="3"/>
        <v>1369.41</v>
      </c>
    </row>
    <row r="217" spans="1:17" x14ac:dyDescent="0.3">
      <c r="A217">
        <v>5</v>
      </c>
      <c r="B217" t="s">
        <v>1129</v>
      </c>
      <c r="C217" t="s">
        <v>1130</v>
      </c>
      <c r="D217" s="1">
        <v>44666</v>
      </c>
      <c r="E217">
        <v>1367.41</v>
      </c>
      <c r="F217">
        <v>136.74</v>
      </c>
      <c r="G217">
        <v>54.7</v>
      </c>
      <c r="H217">
        <v>0</v>
      </c>
      <c r="I217">
        <v>0</v>
      </c>
      <c r="J217">
        <v>0</v>
      </c>
      <c r="K217">
        <v>1175.98</v>
      </c>
      <c r="L217">
        <v>0</v>
      </c>
      <c r="M217">
        <v>0</v>
      </c>
      <c r="N217">
        <v>0</v>
      </c>
      <c r="O217">
        <v>0</v>
      </c>
      <c r="P217" s="5">
        <f>DATE(YEAR(gusto_payroll_bc[[#This Row],[Pay_Date]]),MONTH(gusto_payroll_bc[[#This Row],[Pay_Date]]),1)</f>
        <v>44652</v>
      </c>
      <c r="Q217">
        <f t="shared" si="3"/>
        <v>1367.41</v>
      </c>
    </row>
    <row r="218" spans="1:17" x14ac:dyDescent="0.3">
      <c r="A218">
        <v>5</v>
      </c>
      <c r="B218" t="s">
        <v>1129</v>
      </c>
      <c r="C218" t="s">
        <v>1130</v>
      </c>
      <c r="D218" s="1">
        <v>44680</v>
      </c>
      <c r="E218">
        <v>1396.86</v>
      </c>
      <c r="F218">
        <v>139.69</v>
      </c>
      <c r="G218">
        <v>55.87</v>
      </c>
      <c r="H218">
        <v>0</v>
      </c>
      <c r="I218">
        <v>0</v>
      </c>
      <c r="J218">
        <v>0</v>
      </c>
      <c r="K218">
        <v>1201.3</v>
      </c>
      <c r="L218">
        <v>0</v>
      </c>
      <c r="M218">
        <v>0</v>
      </c>
      <c r="N218">
        <v>0</v>
      </c>
      <c r="O218">
        <v>0</v>
      </c>
      <c r="P218" s="5">
        <f>DATE(YEAR(gusto_payroll_bc[[#This Row],[Pay_Date]]),MONTH(gusto_payroll_bc[[#This Row],[Pay_Date]]),1)</f>
        <v>44652</v>
      </c>
      <c r="Q218">
        <f t="shared" si="3"/>
        <v>1396.86</v>
      </c>
    </row>
    <row r="219" spans="1:17" x14ac:dyDescent="0.3">
      <c r="A219">
        <v>5</v>
      </c>
      <c r="B219" t="s">
        <v>1129</v>
      </c>
      <c r="C219" t="s">
        <v>1130</v>
      </c>
      <c r="D219" s="1">
        <v>44694</v>
      </c>
      <c r="E219">
        <v>1312.27</v>
      </c>
      <c r="F219">
        <v>131.22999999999999</v>
      </c>
      <c r="G219">
        <v>52.49</v>
      </c>
      <c r="H219">
        <v>0</v>
      </c>
      <c r="I219">
        <v>0</v>
      </c>
      <c r="J219">
        <v>0</v>
      </c>
      <c r="K219">
        <v>1128.55</v>
      </c>
      <c r="L219">
        <v>0</v>
      </c>
      <c r="M219">
        <v>0</v>
      </c>
      <c r="N219">
        <v>0</v>
      </c>
      <c r="O219">
        <v>0</v>
      </c>
      <c r="P219" s="5">
        <f>DATE(YEAR(gusto_payroll_bc[[#This Row],[Pay_Date]]),MONTH(gusto_payroll_bc[[#This Row],[Pay_Date]]),1)</f>
        <v>44682</v>
      </c>
      <c r="Q219">
        <f t="shared" si="3"/>
        <v>1312.27</v>
      </c>
    </row>
    <row r="220" spans="1:17" x14ac:dyDescent="0.3">
      <c r="A220">
        <v>5</v>
      </c>
      <c r="B220" t="s">
        <v>1129</v>
      </c>
      <c r="C220" t="s">
        <v>1130</v>
      </c>
      <c r="D220" s="1">
        <v>44708</v>
      </c>
      <c r="E220">
        <v>1533.25</v>
      </c>
      <c r="F220">
        <v>153.33000000000001</v>
      </c>
      <c r="G220">
        <v>61.33</v>
      </c>
      <c r="H220">
        <v>0</v>
      </c>
      <c r="I220">
        <v>0</v>
      </c>
      <c r="J220">
        <v>0</v>
      </c>
      <c r="K220">
        <v>1318.6</v>
      </c>
      <c r="L220">
        <v>0</v>
      </c>
      <c r="M220">
        <v>0</v>
      </c>
      <c r="N220">
        <v>0</v>
      </c>
      <c r="O220">
        <v>0</v>
      </c>
      <c r="P220" s="5">
        <f>DATE(YEAR(gusto_payroll_bc[[#This Row],[Pay_Date]]),MONTH(gusto_payroll_bc[[#This Row],[Pay_Date]]),1)</f>
        <v>44682</v>
      </c>
      <c r="Q220">
        <f t="shared" si="3"/>
        <v>1533.25</v>
      </c>
    </row>
    <row r="221" spans="1:17" x14ac:dyDescent="0.3">
      <c r="A221">
        <v>5</v>
      </c>
      <c r="B221" t="s">
        <v>1129</v>
      </c>
      <c r="C221" t="s">
        <v>1130</v>
      </c>
      <c r="D221" s="1">
        <v>44722</v>
      </c>
      <c r="E221">
        <v>1391.97</v>
      </c>
      <c r="F221">
        <v>139.19999999999999</v>
      </c>
      <c r="G221">
        <v>55.68</v>
      </c>
      <c r="H221">
        <v>0</v>
      </c>
      <c r="I221">
        <v>0</v>
      </c>
      <c r="J221">
        <v>0</v>
      </c>
      <c r="K221">
        <v>1197.0899999999999</v>
      </c>
      <c r="L221">
        <v>0</v>
      </c>
      <c r="M221">
        <v>0</v>
      </c>
      <c r="N221">
        <v>0</v>
      </c>
      <c r="O221">
        <v>0</v>
      </c>
      <c r="P221" s="5">
        <f>DATE(YEAR(gusto_payroll_bc[[#This Row],[Pay_Date]]),MONTH(gusto_payroll_bc[[#This Row],[Pay_Date]]),1)</f>
        <v>44713</v>
      </c>
      <c r="Q221">
        <f t="shared" si="3"/>
        <v>1391.97</v>
      </c>
    </row>
    <row r="222" spans="1:17" x14ac:dyDescent="0.3">
      <c r="A222">
        <v>5</v>
      </c>
      <c r="B222" t="s">
        <v>1129</v>
      </c>
      <c r="C222" t="s">
        <v>1130</v>
      </c>
      <c r="D222" s="1">
        <v>44736</v>
      </c>
      <c r="E222">
        <v>1365.64</v>
      </c>
      <c r="F222">
        <v>136.56</v>
      </c>
      <c r="G222">
        <v>54.63</v>
      </c>
      <c r="H222">
        <v>0</v>
      </c>
      <c r="I222">
        <v>0</v>
      </c>
      <c r="J222">
        <v>0</v>
      </c>
      <c r="K222">
        <v>1174.45</v>
      </c>
      <c r="L222">
        <v>0</v>
      </c>
      <c r="M222">
        <v>0</v>
      </c>
      <c r="N222">
        <v>0</v>
      </c>
      <c r="O222">
        <v>0</v>
      </c>
      <c r="P222" s="5">
        <f>DATE(YEAR(gusto_payroll_bc[[#This Row],[Pay_Date]]),MONTH(gusto_payroll_bc[[#This Row],[Pay_Date]]),1)</f>
        <v>44713</v>
      </c>
      <c r="Q222">
        <f t="shared" si="3"/>
        <v>1365.64</v>
      </c>
    </row>
    <row r="223" spans="1:17" x14ac:dyDescent="0.3">
      <c r="A223">
        <v>5</v>
      </c>
      <c r="B223" t="s">
        <v>1129</v>
      </c>
      <c r="C223" t="s">
        <v>1130</v>
      </c>
      <c r="D223" s="1">
        <v>44750</v>
      </c>
      <c r="E223">
        <v>1385.81</v>
      </c>
      <c r="F223">
        <v>138.58000000000001</v>
      </c>
      <c r="G223">
        <v>55.43</v>
      </c>
      <c r="H223">
        <v>0</v>
      </c>
      <c r="I223">
        <v>0</v>
      </c>
      <c r="J223">
        <v>0</v>
      </c>
      <c r="K223">
        <v>1191.8</v>
      </c>
      <c r="L223">
        <v>0</v>
      </c>
      <c r="M223">
        <v>0</v>
      </c>
      <c r="N223">
        <v>0</v>
      </c>
      <c r="O223">
        <v>0</v>
      </c>
      <c r="P223" s="5">
        <f>DATE(YEAR(gusto_payroll_bc[[#This Row],[Pay_Date]]),MONTH(gusto_payroll_bc[[#This Row],[Pay_Date]]),1)</f>
        <v>44743</v>
      </c>
      <c r="Q223">
        <f t="shared" si="3"/>
        <v>1385.81</v>
      </c>
    </row>
    <row r="224" spans="1:17" x14ac:dyDescent="0.3">
      <c r="A224">
        <v>5</v>
      </c>
      <c r="B224" t="s">
        <v>1129</v>
      </c>
      <c r="C224" t="s">
        <v>1130</v>
      </c>
      <c r="D224" s="1">
        <v>44764</v>
      </c>
      <c r="E224">
        <v>1500.79</v>
      </c>
      <c r="F224">
        <v>150.08000000000001</v>
      </c>
      <c r="G224">
        <v>60.03</v>
      </c>
      <c r="H224">
        <v>0</v>
      </c>
      <c r="I224">
        <v>0</v>
      </c>
      <c r="J224">
        <v>0</v>
      </c>
      <c r="K224">
        <v>1290.68</v>
      </c>
      <c r="L224">
        <v>0</v>
      </c>
      <c r="M224">
        <v>0</v>
      </c>
      <c r="N224">
        <v>0</v>
      </c>
      <c r="O224">
        <v>0</v>
      </c>
      <c r="P224" s="5">
        <f>DATE(YEAR(gusto_payroll_bc[[#This Row],[Pay_Date]]),MONTH(gusto_payroll_bc[[#This Row],[Pay_Date]]),1)</f>
        <v>44743</v>
      </c>
      <c r="Q224">
        <f t="shared" si="3"/>
        <v>1500.79</v>
      </c>
    </row>
    <row r="225" spans="1:17" x14ac:dyDescent="0.3">
      <c r="A225">
        <v>5</v>
      </c>
      <c r="B225" t="s">
        <v>1129</v>
      </c>
      <c r="C225" t="s">
        <v>1130</v>
      </c>
      <c r="D225" s="1">
        <v>44778</v>
      </c>
      <c r="E225">
        <v>1407.54</v>
      </c>
      <c r="F225">
        <v>140.75</v>
      </c>
      <c r="G225">
        <v>56.3</v>
      </c>
      <c r="H225">
        <v>0</v>
      </c>
      <c r="I225">
        <v>0</v>
      </c>
      <c r="J225">
        <v>0</v>
      </c>
      <c r="K225">
        <v>1210.49</v>
      </c>
      <c r="L225">
        <v>0</v>
      </c>
      <c r="M225">
        <v>0</v>
      </c>
      <c r="N225">
        <v>0</v>
      </c>
      <c r="O225">
        <v>0</v>
      </c>
      <c r="P225" s="5">
        <f>DATE(YEAR(gusto_payroll_bc[[#This Row],[Pay_Date]]),MONTH(gusto_payroll_bc[[#This Row],[Pay_Date]]),1)</f>
        <v>44774</v>
      </c>
      <c r="Q225">
        <f t="shared" si="3"/>
        <v>1407.54</v>
      </c>
    </row>
    <row r="226" spans="1:17" x14ac:dyDescent="0.3">
      <c r="A226">
        <v>5</v>
      </c>
      <c r="B226" t="s">
        <v>1129</v>
      </c>
      <c r="C226" t="s">
        <v>1130</v>
      </c>
      <c r="D226" s="1">
        <v>44792</v>
      </c>
      <c r="E226">
        <v>1396.97</v>
      </c>
      <c r="F226">
        <v>139.69999999999999</v>
      </c>
      <c r="G226">
        <v>55.88</v>
      </c>
      <c r="H226">
        <v>0</v>
      </c>
      <c r="I226">
        <v>0</v>
      </c>
      <c r="J226">
        <v>0</v>
      </c>
      <c r="K226">
        <v>1201.3900000000001</v>
      </c>
      <c r="L226">
        <v>0</v>
      </c>
      <c r="M226">
        <v>0</v>
      </c>
      <c r="N226">
        <v>0</v>
      </c>
      <c r="O226">
        <v>0</v>
      </c>
      <c r="P226" s="5">
        <f>DATE(YEAR(gusto_payroll_bc[[#This Row],[Pay_Date]]),MONTH(gusto_payroll_bc[[#This Row],[Pay_Date]]),1)</f>
        <v>44774</v>
      </c>
      <c r="Q226">
        <f t="shared" si="3"/>
        <v>1396.97</v>
      </c>
    </row>
    <row r="227" spans="1:17" x14ac:dyDescent="0.3">
      <c r="A227">
        <v>5</v>
      </c>
      <c r="B227" t="s">
        <v>1129</v>
      </c>
      <c r="C227" t="s">
        <v>1130</v>
      </c>
      <c r="D227" s="1">
        <v>44806</v>
      </c>
      <c r="E227">
        <v>1365.53</v>
      </c>
      <c r="F227">
        <v>136.55000000000001</v>
      </c>
      <c r="G227">
        <v>54.62</v>
      </c>
      <c r="H227">
        <v>0</v>
      </c>
      <c r="I227">
        <v>0</v>
      </c>
      <c r="J227">
        <v>0</v>
      </c>
      <c r="K227">
        <v>1174.3599999999999</v>
      </c>
      <c r="L227">
        <v>0</v>
      </c>
      <c r="M227">
        <v>0</v>
      </c>
      <c r="N227">
        <v>0</v>
      </c>
      <c r="O227">
        <v>0</v>
      </c>
      <c r="P227" s="5">
        <f>DATE(YEAR(gusto_payroll_bc[[#This Row],[Pay_Date]]),MONTH(gusto_payroll_bc[[#This Row],[Pay_Date]]),1)</f>
        <v>44805</v>
      </c>
      <c r="Q227">
        <f t="shared" si="3"/>
        <v>1365.53</v>
      </c>
    </row>
    <row r="228" spans="1:17" x14ac:dyDescent="0.3">
      <c r="A228">
        <v>5</v>
      </c>
      <c r="B228" t="s">
        <v>1129</v>
      </c>
      <c r="C228" t="s">
        <v>1130</v>
      </c>
      <c r="D228" s="1">
        <v>44820</v>
      </c>
      <c r="E228">
        <v>1428.98</v>
      </c>
      <c r="F228">
        <v>142.9</v>
      </c>
      <c r="G228">
        <v>57.16</v>
      </c>
      <c r="H228">
        <v>0</v>
      </c>
      <c r="I228">
        <v>0</v>
      </c>
      <c r="J228">
        <v>0</v>
      </c>
      <c r="K228">
        <v>1228.92</v>
      </c>
      <c r="L228">
        <v>0</v>
      </c>
      <c r="M228">
        <v>0</v>
      </c>
      <c r="N228">
        <v>0</v>
      </c>
      <c r="O228">
        <v>0</v>
      </c>
      <c r="P228" s="5">
        <f>DATE(YEAR(gusto_payroll_bc[[#This Row],[Pay_Date]]),MONTH(gusto_payroll_bc[[#This Row],[Pay_Date]]),1)</f>
        <v>44805</v>
      </c>
      <c r="Q228">
        <f t="shared" si="3"/>
        <v>1428.98</v>
      </c>
    </row>
    <row r="229" spans="1:17" x14ac:dyDescent="0.3">
      <c r="A229">
        <v>5</v>
      </c>
      <c r="B229" t="s">
        <v>1129</v>
      </c>
      <c r="C229" t="s">
        <v>1130</v>
      </c>
      <c r="D229" s="1">
        <v>44834</v>
      </c>
      <c r="E229">
        <v>1409.27</v>
      </c>
      <c r="F229">
        <v>140.93</v>
      </c>
      <c r="G229">
        <v>56.37</v>
      </c>
      <c r="H229">
        <v>0</v>
      </c>
      <c r="I229">
        <v>0</v>
      </c>
      <c r="J229">
        <v>0</v>
      </c>
      <c r="K229">
        <v>1211.97</v>
      </c>
      <c r="L229">
        <v>0</v>
      </c>
      <c r="M229">
        <v>0</v>
      </c>
      <c r="N229">
        <v>0</v>
      </c>
      <c r="O229">
        <v>0</v>
      </c>
      <c r="P229" s="5">
        <f>DATE(YEAR(gusto_payroll_bc[[#This Row],[Pay_Date]]),MONTH(gusto_payroll_bc[[#This Row],[Pay_Date]]),1)</f>
        <v>44805</v>
      </c>
      <c r="Q229">
        <f t="shared" si="3"/>
        <v>1409.27</v>
      </c>
    </row>
    <row r="230" spans="1:17" x14ac:dyDescent="0.3">
      <c r="A230">
        <v>5</v>
      </c>
      <c r="B230" t="s">
        <v>1129</v>
      </c>
      <c r="C230" t="s">
        <v>1130</v>
      </c>
      <c r="D230" s="1">
        <v>44848</v>
      </c>
      <c r="E230">
        <v>1385.02</v>
      </c>
      <c r="F230">
        <v>138.5</v>
      </c>
      <c r="G230">
        <v>55.4</v>
      </c>
      <c r="H230">
        <v>0</v>
      </c>
      <c r="I230">
        <v>0</v>
      </c>
      <c r="J230">
        <v>0</v>
      </c>
      <c r="K230">
        <v>1191.1199999999999</v>
      </c>
      <c r="L230">
        <v>0</v>
      </c>
      <c r="M230">
        <v>0</v>
      </c>
      <c r="N230">
        <v>0</v>
      </c>
      <c r="O230">
        <v>0</v>
      </c>
      <c r="P230" s="5">
        <f>DATE(YEAR(gusto_payroll_bc[[#This Row],[Pay_Date]]),MONTH(gusto_payroll_bc[[#This Row],[Pay_Date]]),1)</f>
        <v>44835</v>
      </c>
      <c r="Q230">
        <f t="shared" si="3"/>
        <v>1385.02</v>
      </c>
    </row>
    <row r="231" spans="1:17" x14ac:dyDescent="0.3">
      <c r="A231">
        <v>5</v>
      </c>
      <c r="B231" t="s">
        <v>1129</v>
      </c>
      <c r="C231" t="s">
        <v>1130</v>
      </c>
      <c r="D231" s="1">
        <v>44862</v>
      </c>
      <c r="E231">
        <v>1368.62</v>
      </c>
      <c r="F231">
        <v>136.86000000000001</v>
      </c>
      <c r="G231">
        <v>54.74</v>
      </c>
      <c r="H231">
        <v>0</v>
      </c>
      <c r="I231">
        <v>0</v>
      </c>
      <c r="J231">
        <v>0</v>
      </c>
      <c r="K231">
        <v>1177.01</v>
      </c>
      <c r="L231">
        <v>0</v>
      </c>
      <c r="M231">
        <v>0</v>
      </c>
      <c r="N231">
        <v>0</v>
      </c>
      <c r="O231">
        <v>0</v>
      </c>
      <c r="P231" s="5">
        <f>DATE(YEAR(gusto_payroll_bc[[#This Row],[Pay_Date]]),MONTH(gusto_payroll_bc[[#This Row],[Pay_Date]]),1)</f>
        <v>44835</v>
      </c>
      <c r="Q231">
        <f t="shared" si="3"/>
        <v>1368.62</v>
      </c>
    </row>
    <row r="232" spans="1:17" x14ac:dyDescent="0.3">
      <c r="A232">
        <v>5</v>
      </c>
      <c r="B232" t="s">
        <v>1129</v>
      </c>
      <c r="C232" t="s">
        <v>1130</v>
      </c>
      <c r="D232" s="1">
        <v>44876</v>
      </c>
      <c r="E232">
        <v>1458.64</v>
      </c>
      <c r="F232">
        <v>145.86000000000001</v>
      </c>
      <c r="G232">
        <v>58.35</v>
      </c>
      <c r="H232">
        <v>0</v>
      </c>
      <c r="I232">
        <v>0</v>
      </c>
      <c r="J232">
        <v>0</v>
      </c>
      <c r="K232">
        <v>1254.43</v>
      </c>
      <c r="L232">
        <v>0</v>
      </c>
      <c r="M232">
        <v>0</v>
      </c>
      <c r="N232">
        <v>0</v>
      </c>
      <c r="O232">
        <v>0</v>
      </c>
      <c r="P232" s="5">
        <f>DATE(YEAR(gusto_payroll_bc[[#This Row],[Pay_Date]]),MONTH(gusto_payroll_bc[[#This Row],[Pay_Date]]),1)</f>
        <v>44866</v>
      </c>
      <c r="Q232">
        <f t="shared" si="3"/>
        <v>1458.64</v>
      </c>
    </row>
    <row r="233" spans="1:17" x14ac:dyDescent="0.3">
      <c r="A233">
        <v>5</v>
      </c>
      <c r="B233" t="s">
        <v>1129</v>
      </c>
      <c r="C233" t="s">
        <v>1130</v>
      </c>
      <c r="D233" s="1">
        <v>44890</v>
      </c>
      <c r="E233">
        <v>1408.87</v>
      </c>
      <c r="F233">
        <v>140.88999999999999</v>
      </c>
      <c r="G233">
        <v>56.35</v>
      </c>
      <c r="H233">
        <v>0</v>
      </c>
      <c r="I233">
        <v>0</v>
      </c>
      <c r="J233">
        <v>0</v>
      </c>
      <c r="K233">
        <v>1211.6300000000001</v>
      </c>
      <c r="L233">
        <v>0</v>
      </c>
      <c r="M233">
        <v>0</v>
      </c>
      <c r="N233">
        <v>0</v>
      </c>
      <c r="O233">
        <v>0</v>
      </c>
      <c r="P233" s="5">
        <f>DATE(YEAR(gusto_payroll_bc[[#This Row],[Pay_Date]]),MONTH(gusto_payroll_bc[[#This Row],[Pay_Date]]),1)</f>
        <v>44866</v>
      </c>
      <c r="Q233">
        <f t="shared" si="3"/>
        <v>1408.87</v>
      </c>
    </row>
    <row r="234" spans="1:17" x14ac:dyDescent="0.3">
      <c r="A234">
        <v>5</v>
      </c>
      <c r="B234" t="s">
        <v>1129</v>
      </c>
      <c r="C234" t="s">
        <v>1130</v>
      </c>
      <c r="D234" s="1">
        <v>44904</v>
      </c>
      <c r="E234">
        <v>1433.59</v>
      </c>
      <c r="F234">
        <v>143.36000000000001</v>
      </c>
      <c r="G234">
        <v>57.34</v>
      </c>
      <c r="H234">
        <v>0</v>
      </c>
      <c r="I234">
        <v>0</v>
      </c>
      <c r="J234">
        <v>0</v>
      </c>
      <c r="K234">
        <v>1232.8900000000001</v>
      </c>
      <c r="L234">
        <v>0</v>
      </c>
      <c r="M234">
        <v>0</v>
      </c>
      <c r="N234">
        <v>0</v>
      </c>
      <c r="O234">
        <v>0</v>
      </c>
      <c r="P234" s="5">
        <f>DATE(YEAR(gusto_payroll_bc[[#This Row],[Pay_Date]]),MONTH(gusto_payroll_bc[[#This Row],[Pay_Date]]),1)</f>
        <v>44896</v>
      </c>
      <c r="Q234">
        <f t="shared" si="3"/>
        <v>1433.59</v>
      </c>
    </row>
    <row r="235" spans="1:17" x14ac:dyDescent="0.3">
      <c r="A235">
        <v>5</v>
      </c>
      <c r="B235" t="s">
        <v>1129</v>
      </c>
      <c r="C235" t="s">
        <v>1130</v>
      </c>
      <c r="D235" s="1">
        <v>44918</v>
      </c>
      <c r="E235">
        <v>1385.11</v>
      </c>
      <c r="F235">
        <v>138.51</v>
      </c>
      <c r="G235">
        <v>55.4</v>
      </c>
      <c r="H235">
        <v>0</v>
      </c>
      <c r="I235">
        <v>0</v>
      </c>
      <c r="J235">
        <v>0</v>
      </c>
      <c r="K235">
        <v>1191.2</v>
      </c>
      <c r="L235">
        <v>0</v>
      </c>
      <c r="M235">
        <v>0</v>
      </c>
      <c r="N235">
        <v>0</v>
      </c>
      <c r="O235">
        <v>0</v>
      </c>
      <c r="P235" s="5">
        <f>DATE(YEAR(gusto_payroll_bc[[#This Row],[Pay_Date]]),MONTH(gusto_payroll_bc[[#This Row],[Pay_Date]]),1)</f>
        <v>44896</v>
      </c>
      <c r="Q235">
        <f t="shared" si="3"/>
        <v>1385.11</v>
      </c>
    </row>
    <row r="236" spans="1:17" x14ac:dyDescent="0.3">
      <c r="A236">
        <v>5</v>
      </c>
      <c r="B236" t="s">
        <v>1129</v>
      </c>
      <c r="C236" t="s">
        <v>1130</v>
      </c>
      <c r="D236" s="1">
        <v>44932</v>
      </c>
      <c r="E236">
        <v>1406.92</v>
      </c>
      <c r="F236">
        <v>140.69</v>
      </c>
      <c r="G236">
        <v>56.28</v>
      </c>
      <c r="H236">
        <v>0</v>
      </c>
      <c r="I236">
        <v>0</v>
      </c>
      <c r="J236">
        <v>0</v>
      </c>
      <c r="K236">
        <v>1209.95</v>
      </c>
      <c r="L236">
        <v>0</v>
      </c>
      <c r="M236">
        <v>0</v>
      </c>
      <c r="N236">
        <v>0</v>
      </c>
      <c r="O236">
        <v>0</v>
      </c>
      <c r="P236" s="5">
        <f>DATE(YEAR(gusto_payroll_bc[[#This Row],[Pay_Date]]),MONTH(gusto_payroll_bc[[#This Row],[Pay_Date]]),1)</f>
        <v>44927</v>
      </c>
      <c r="Q236">
        <f t="shared" si="3"/>
        <v>1406.92</v>
      </c>
    </row>
    <row r="237" spans="1:17" x14ac:dyDescent="0.3">
      <c r="A237">
        <v>5</v>
      </c>
      <c r="B237" t="s">
        <v>1129</v>
      </c>
      <c r="C237" t="s">
        <v>1130</v>
      </c>
      <c r="D237" s="1">
        <v>44946</v>
      </c>
      <c r="E237">
        <v>1362.98</v>
      </c>
      <c r="F237">
        <v>136.30000000000001</v>
      </c>
      <c r="G237">
        <v>54.52</v>
      </c>
      <c r="H237">
        <v>0</v>
      </c>
      <c r="I237">
        <v>0</v>
      </c>
      <c r="J237">
        <v>0</v>
      </c>
      <c r="K237">
        <v>1172.1600000000001</v>
      </c>
      <c r="L237">
        <v>0</v>
      </c>
      <c r="M237">
        <v>0</v>
      </c>
      <c r="N237">
        <v>0</v>
      </c>
      <c r="O237">
        <v>0</v>
      </c>
      <c r="P237" s="5">
        <f>DATE(YEAR(gusto_payroll_bc[[#This Row],[Pay_Date]]),MONTH(gusto_payroll_bc[[#This Row],[Pay_Date]]),1)</f>
        <v>44927</v>
      </c>
      <c r="Q237">
        <f t="shared" si="3"/>
        <v>1362.98</v>
      </c>
    </row>
    <row r="238" spans="1:17" x14ac:dyDescent="0.3">
      <c r="A238">
        <v>5</v>
      </c>
      <c r="B238" t="s">
        <v>1129</v>
      </c>
      <c r="C238" t="s">
        <v>1130</v>
      </c>
      <c r="D238" s="1">
        <v>44960</v>
      </c>
      <c r="E238">
        <v>1398.68</v>
      </c>
      <c r="F238">
        <v>139.87</v>
      </c>
      <c r="G238">
        <v>55.95</v>
      </c>
      <c r="H238">
        <v>0</v>
      </c>
      <c r="I238">
        <v>0</v>
      </c>
      <c r="J238">
        <v>0</v>
      </c>
      <c r="K238">
        <v>1202.8699999999999</v>
      </c>
      <c r="L238">
        <v>0</v>
      </c>
      <c r="M238">
        <v>0</v>
      </c>
      <c r="N238">
        <v>0</v>
      </c>
      <c r="O238">
        <v>0</v>
      </c>
      <c r="P238" s="5">
        <f>DATE(YEAR(gusto_payroll_bc[[#This Row],[Pay_Date]]),MONTH(gusto_payroll_bc[[#This Row],[Pay_Date]]),1)</f>
        <v>44958</v>
      </c>
      <c r="Q238">
        <f t="shared" si="3"/>
        <v>1398.68</v>
      </c>
    </row>
    <row r="239" spans="1:17" x14ac:dyDescent="0.3">
      <c r="A239">
        <v>5</v>
      </c>
      <c r="B239" t="s">
        <v>1129</v>
      </c>
      <c r="C239" t="s">
        <v>1130</v>
      </c>
      <c r="D239" s="1">
        <v>44974</v>
      </c>
      <c r="E239">
        <v>1263.9100000000001</v>
      </c>
      <c r="F239">
        <v>126.39</v>
      </c>
      <c r="G239">
        <v>50.56</v>
      </c>
      <c r="H239">
        <v>0</v>
      </c>
      <c r="I239">
        <v>0</v>
      </c>
      <c r="J239">
        <v>0</v>
      </c>
      <c r="K239">
        <v>1086.96</v>
      </c>
      <c r="L239">
        <v>0</v>
      </c>
      <c r="M239">
        <v>0</v>
      </c>
      <c r="N239">
        <v>0</v>
      </c>
      <c r="O239">
        <v>0</v>
      </c>
      <c r="P239" s="5">
        <f>DATE(YEAR(gusto_payroll_bc[[#This Row],[Pay_Date]]),MONTH(gusto_payroll_bc[[#This Row],[Pay_Date]]),1)</f>
        <v>44958</v>
      </c>
      <c r="Q239">
        <f t="shared" si="3"/>
        <v>1263.9100000000001</v>
      </c>
    </row>
    <row r="240" spans="1:17" x14ac:dyDescent="0.3">
      <c r="A240">
        <v>5</v>
      </c>
      <c r="B240" t="s">
        <v>1129</v>
      </c>
      <c r="C240" t="s">
        <v>1130</v>
      </c>
      <c r="D240" s="1">
        <v>44988</v>
      </c>
      <c r="E240">
        <v>1437.1</v>
      </c>
      <c r="F240">
        <v>143.71</v>
      </c>
      <c r="G240">
        <v>57.48</v>
      </c>
      <c r="H240">
        <v>0</v>
      </c>
      <c r="I240">
        <v>0</v>
      </c>
      <c r="J240">
        <v>0</v>
      </c>
      <c r="K240">
        <v>1235.9000000000001</v>
      </c>
      <c r="L240">
        <v>0</v>
      </c>
      <c r="M240">
        <v>0</v>
      </c>
      <c r="N240">
        <v>0</v>
      </c>
      <c r="O240">
        <v>0</v>
      </c>
      <c r="P240" s="5">
        <f>DATE(YEAR(gusto_payroll_bc[[#This Row],[Pay_Date]]),MONTH(gusto_payroll_bc[[#This Row],[Pay_Date]]),1)</f>
        <v>44986</v>
      </c>
      <c r="Q240">
        <f t="shared" si="3"/>
        <v>1437.1</v>
      </c>
    </row>
    <row r="241" spans="1:17" x14ac:dyDescent="0.3">
      <c r="A241">
        <v>5</v>
      </c>
      <c r="B241" t="s">
        <v>1129</v>
      </c>
      <c r="C241" t="s">
        <v>1130</v>
      </c>
      <c r="D241" s="1">
        <v>45002</v>
      </c>
      <c r="E241">
        <v>1422.21</v>
      </c>
      <c r="F241">
        <v>142.22</v>
      </c>
      <c r="G241">
        <v>56.89</v>
      </c>
      <c r="H241">
        <v>0</v>
      </c>
      <c r="I241">
        <v>0</v>
      </c>
      <c r="J241">
        <v>0</v>
      </c>
      <c r="K241">
        <v>1223.0999999999999</v>
      </c>
      <c r="L241">
        <v>0</v>
      </c>
      <c r="M241">
        <v>0</v>
      </c>
      <c r="N241">
        <v>0</v>
      </c>
      <c r="O241">
        <v>0</v>
      </c>
      <c r="P241" s="5">
        <f>DATE(YEAR(gusto_payroll_bc[[#This Row],[Pay_Date]]),MONTH(gusto_payroll_bc[[#This Row],[Pay_Date]]),1)</f>
        <v>44986</v>
      </c>
      <c r="Q241">
        <f t="shared" si="3"/>
        <v>1422.21</v>
      </c>
    </row>
    <row r="242" spans="1:17" x14ac:dyDescent="0.3">
      <c r="A242">
        <v>5</v>
      </c>
      <c r="B242" t="s">
        <v>1129</v>
      </c>
      <c r="C242" t="s">
        <v>1130</v>
      </c>
      <c r="D242" s="1">
        <v>45016</v>
      </c>
      <c r="E242">
        <v>1453.06</v>
      </c>
      <c r="F242">
        <v>145.31</v>
      </c>
      <c r="G242">
        <v>58.12</v>
      </c>
      <c r="H242">
        <v>0</v>
      </c>
      <c r="I242">
        <v>0</v>
      </c>
      <c r="J242">
        <v>0</v>
      </c>
      <c r="K242">
        <v>1249.6400000000001</v>
      </c>
      <c r="L242">
        <v>0</v>
      </c>
      <c r="M242">
        <v>0</v>
      </c>
      <c r="N242">
        <v>0</v>
      </c>
      <c r="O242">
        <v>0</v>
      </c>
      <c r="P242" s="5">
        <f>DATE(YEAR(gusto_payroll_bc[[#This Row],[Pay_Date]]),MONTH(gusto_payroll_bc[[#This Row],[Pay_Date]]),1)</f>
        <v>44986</v>
      </c>
      <c r="Q242">
        <f t="shared" si="3"/>
        <v>1453.06</v>
      </c>
    </row>
    <row r="243" spans="1:17" x14ac:dyDescent="0.3">
      <c r="A243">
        <v>5</v>
      </c>
      <c r="B243" t="s">
        <v>1129</v>
      </c>
      <c r="C243" t="s">
        <v>1130</v>
      </c>
      <c r="D243" s="1">
        <v>45030</v>
      </c>
      <c r="E243">
        <v>1483.82</v>
      </c>
      <c r="F243">
        <v>148.38</v>
      </c>
      <c r="G243">
        <v>59.35</v>
      </c>
      <c r="H243">
        <v>0</v>
      </c>
      <c r="I243">
        <v>0</v>
      </c>
      <c r="J243">
        <v>0</v>
      </c>
      <c r="K243">
        <v>1276.08</v>
      </c>
      <c r="L243">
        <v>0</v>
      </c>
      <c r="M243">
        <v>0</v>
      </c>
      <c r="N243">
        <v>0</v>
      </c>
      <c r="O243">
        <v>0</v>
      </c>
      <c r="P243" s="5">
        <f>DATE(YEAR(gusto_payroll_bc[[#This Row],[Pay_Date]]),MONTH(gusto_payroll_bc[[#This Row],[Pay_Date]]),1)</f>
        <v>45017</v>
      </c>
      <c r="Q243">
        <f t="shared" si="3"/>
        <v>1483.82</v>
      </c>
    </row>
    <row r="244" spans="1:17" x14ac:dyDescent="0.3">
      <c r="A244">
        <v>5</v>
      </c>
      <c r="B244" t="s">
        <v>1129</v>
      </c>
      <c r="C244" t="s">
        <v>1130</v>
      </c>
      <c r="D244" s="1">
        <v>45044</v>
      </c>
      <c r="E244">
        <v>1411.57</v>
      </c>
      <c r="F244">
        <v>141.16</v>
      </c>
      <c r="G244">
        <v>56.46</v>
      </c>
      <c r="H244">
        <v>0</v>
      </c>
      <c r="I244">
        <v>0</v>
      </c>
      <c r="J244">
        <v>0</v>
      </c>
      <c r="K244">
        <v>1213.95</v>
      </c>
      <c r="L244">
        <v>0</v>
      </c>
      <c r="M244">
        <v>0</v>
      </c>
      <c r="N244">
        <v>0</v>
      </c>
      <c r="O244">
        <v>0</v>
      </c>
      <c r="P244" s="5">
        <f>DATE(YEAR(gusto_payroll_bc[[#This Row],[Pay_Date]]),MONTH(gusto_payroll_bc[[#This Row],[Pay_Date]]),1)</f>
        <v>45017</v>
      </c>
      <c r="Q244">
        <f t="shared" si="3"/>
        <v>1411.57</v>
      </c>
    </row>
    <row r="245" spans="1:17" x14ac:dyDescent="0.3">
      <c r="A245">
        <v>5</v>
      </c>
      <c r="B245" t="s">
        <v>1129</v>
      </c>
      <c r="C245" t="s">
        <v>1130</v>
      </c>
      <c r="D245" s="1">
        <v>45058</v>
      </c>
      <c r="E245">
        <v>1466.14</v>
      </c>
      <c r="F245">
        <v>146.61000000000001</v>
      </c>
      <c r="G245">
        <v>58.65</v>
      </c>
      <c r="H245">
        <v>0</v>
      </c>
      <c r="I245">
        <v>0</v>
      </c>
      <c r="J245">
        <v>0</v>
      </c>
      <c r="K245">
        <v>1260.8800000000001</v>
      </c>
      <c r="L245">
        <v>0</v>
      </c>
      <c r="M245">
        <v>0</v>
      </c>
      <c r="N245">
        <v>0</v>
      </c>
      <c r="O245">
        <v>0</v>
      </c>
      <c r="P245" s="5">
        <f>DATE(YEAR(gusto_payroll_bc[[#This Row],[Pay_Date]]),MONTH(gusto_payroll_bc[[#This Row],[Pay_Date]]),1)</f>
        <v>45047</v>
      </c>
      <c r="Q245">
        <f t="shared" si="3"/>
        <v>1466.14</v>
      </c>
    </row>
    <row r="246" spans="1:17" x14ac:dyDescent="0.3">
      <c r="A246">
        <v>5</v>
      </c>
      <c r="B246" t="s">
        <v>1129</v>
      </c>
      <c r="C246" t="s">
        <v>1130</v>
      </c>
      <c r="D246" s="1">
        <v>45072</v>
      </c>
      <c r="E246">
        <v>1427.63</v>
      </c>
      <c r="F246">
        <v>142.76</v>
      </c>
      <c r="G246">
        <v>57.11</v>
      </c>
      <c r="H246">
        <v>0</v>
      </c>
      <c r="I246">
        <v>0</v>
      </c>
      <c r="J246">
        <v>0</v>
      </c>
      <c r="K246">
        <v>1227.76</v>
      </c>
      <c r="L246">
        <v>0</v>
      </c>
      <c r="M246">
        <v>0</v>
      </c>
      <c r="N246">
        <v>0</v>
      </c>
      <c r="O246">
        <v>0</v>
      </c>
      <c r="P246" s="5">
        <f>DATE(YEAR(gusto_payroll_bc[[#This Row],[Pay_Date]]),MONTH(gusto_payroll_bc[[#This Row],[Pay_Date]]),1)</f>
        <v>45047</v>
      </c>
      <c r="Q246">
        <f t="shared" si="3"/>
        <v>1427.63</v>
      </c>
    </row>
    <row r="247" spans="1:17" x14ac:dyDescent="0.3">
      <c r="A247">
        <v>5</v>
      </c>
      <c r="B247" t="s">
        <v>1129</v>
      </c>
      <c r="C247" t="s">
        <v>1130</v>
      </c>
      <c r="D247" s="1">
        <v>45086</v>
      </c>
      <c r="E247">
        <v>1413.27</v>
      </c>
      <c r="F247">
        <v>141.33000000000001</v>
      </c>
      <c r="G247">
        <v>56.53</v>
      </c>
      <c r="H247">
        <v>0</v>
      </c>
      <c r="I247">
        <v>0</v>
      </c>
      <c r="J247">
        <v>0</v>
      </c>
      <c r="K247">
        <v>1215.42</v>
      </c>
      <c r="L247">
        <v>0</v>
      </c>
      <c r="M247">
        <v>0</v>
      </c>
      <c r="N247">
        <v>0</v>
      </c>
      <c r="O247">
        <v>0</v>
      </c>
      <c r="P247" s="5">
        <f>DATE(YEAR(gusto_payroll_bc[[#This Row],[Pay_Date]]),MONTH(gusto_payroll_bc[[#This Row],[Pay_Date]]),1)</f>
        <v>45078</v>
      </c>
      <c r="Q247">
        <f t="shared" si="3"/>
        <v>1413.27</v>
      </c>
    </row>
    <row r="248" spans="1:17" x14ac:dyDescent="0.3">
      <c r="A248">
        <v>5</v>
      </c>
      <c r="B248" t="s">
        <v>1129</v>
      </c>
      <c r="C248" t="s">
        <v>1130</v>
      </c>
      <c r="D248" s="1">
        <v>45100</v>
      </c>
      <c r="E248">
        <v>1481.08</v>
      </c>
      <c r="F248">
        <v>148.11000000000001</v>
      </c>
      <c r="G248">
        <v>59.24</v>
      </c>
      <c r="H248">
        <v>0</v>
      </c>
      <c r="I248">
        <v>0</v>
      </c>
      <c r="J248">
        <v>0</v>
      </c>
      <c r="K248">
        <v>1273.73</v>
      </c>
      <c r="L248">
        <v>0</v>
      </c>
      <c r="M248">
        <v>0</v>
      </c>
      <c r="N248">
        <v>0</v>
      </c>
      <c r="O248">
        <v>0</v>
      </c>
      <c r="P248" s="5">
        <f>DATE(YEAR(gusto_payroll_bc[[#This Row],[Pay_Date]]),MONTH(gusto_payroll_bc[[#This Row],[Pay_Date]]),1)</f>
        <v>45078</v>
      </c>
      <c r="Q248">
        <f t="shared" si="3"/>
        <v>1481.08</v>
      </c>
    </row>
    <row r="249" spans="1:17" x14ac:dyDescent="0.3">
      <c r="A249">
        <v>5</v>
      </c>
      <c r="B249" t="s">
        <v>1129</v>
      </c>
      <c r="C249" t="s">
        <v>1130</v>
      </c>
      <c r="D249" s="1">
        <v>45114</v>
      </c>
      <c r="E249">
        <v>1310.46</v>
      </c>
      <c r="F249">
        <v>131.05000000000001</v>
      </c>
      <c r="G249">
        <v>52.42</v>
      </c>
      <c r="H249">
        <v>0</v>
      </c>
      <c r="I249">
        <v>0</v>
      </c>
      <c r="J249">
        <v>0</v>
      </c>
      <c r="K249">
        <v>1126.99</v>
      </c>
      <c r="L249">
        <v>0</v>
      </c>
      <c r="M249">
        <v>0</v>
      </c>
      <c r="N249">
        <v>0</v>
      </c>
      <c r="O249">
        <v>0</v>
      </c>
      <c r="P249" s="5">
        <f>DATE(YEAR(gusto_payroll_bc[[#This Row],[Pay_Date]]),MONTH(gusto_payroll_bc[[#This Row],[Pay_Date]]),1)</f>
        <v>45108</v>
      </c>
      <c r="Q249">
        <f t="shared" si="3"/>
        <v>1310.46</v>
      </c>
    </row>
    <row r="250" spans="1:17" x14ac:dyDescent="0.3">
      <c r="A250">
        <v>5</v>
      </c>
      <c r="B250" t="s">
        <v>1129</v>
      </c>
      <c r="C250" t="s">
        <v>1130</v>
      </c>
      <c r="D250" s="1">
        <v>45128</v>
      </c>
      <c r="E250">
        <v>1399.38</v>
      </c>
      <c r="F250">
        <v>139.94</v>
      </c>
      <c r="G250">
        <v>55.98</v>
      </c>
      <c r="H250">
        <v>0</v>
      </c>
      <c r="I250">
        <v>0</v>
      </c>
      <c r="J250">
        <v>0</v>
      </c>
      <c r="K250">
        <v>1203.47</v>
      </c>
      <c r="L250">
        <v>0</v>
      </c>
      <c r="M250">
        <v>0</v>
      </c>
      <c r="N250">
        <v>0</v>
      </c>
      <c r="O250">
        <v>0</v>
      </c>
      <c r="P250" s="5">
        <f>DATE(YEAR(gusto_payroll_bc[[#This Row],[Pay_Date]]),MONTH(gusto_payroll_bc[[#This Row],[Pay_Date]]),1)</f>
        <v>45108</v>
      </c>
      <c r="Q250">
        <f t="shared" si="3"/>
        <v>1399.38</v>
      </c>
    </row>
    <row r="251" spans="1:17" x14ac:dyDescent="0.3">
      <c r="A251">
        <v>5</v>
      </c>
      <c r="B251" t="s">
        <v>1129</v>
      </c>
      <c r="C251" t="s">
        <v>1130</v>
      </c>
      <c r="D251" s="1">
        <v>45142</v>
      </c>
      <c r="E251">
        <v>1425.28</v>
      </c>
      <c r="F251">
        <v>142.53</v>
      </c>
      <c r="G251">
        <v>57.01</v>
      </c>
      <c r="H251">
        <v>0</v>
      </c>
      <c r="I251">
        <v>0</v>
      </c>
      <c r="J251">
        <v>0</v>
      </c>
      <c r="K251">
        <v>1225.74</v>
      </c>
      <c r="L251">
        <v>0</v>
      </c>
      <c r="M251">
        <v>0</v>
      </c>
      <c r="N251">
        <v>0</v>
      </c>
      <c r="O251">
        <v>0</v>
      </c>
      <c r="P251" s="5">
        <f>DATE(YEAR(gusto_payroll_bc[[#This Row],[Pay_Date]]),MONTH(gusto_payroll_bc[[#This Row],[Pay_Date]]),1)</f>
        <v>45139</v>
      </c>
      <c r="Q251">
        <f t="shared" si="3"/>
        <v>1425.28</v>
      </c>
    </row>
    <row r="252" spans="1:17" x14ac:dyDescent="0.3">
      <c r="A252">
        <v>5</v>
      </c>
      <c r="B252" t="s">
        <v>1129</v>
      </c>
      <c r="C252" t="s">
        <v>1130</v>
      </c>
      <c r="D252" s="1">
        <v>45156</v>
      </c>
      <c r="E252">
        <v>1356.46</v>
      </c>
      <c r="F252">
        <v>135.65</v>
      </c>
      <c r="G252">
        <v>54.26</v>
      </c>
      <c r="H252">
        <v>0</v>
      </c>
      <c r="I252">
        <v>0</v>
      </c>
      <c r="J252">
        <v>0</v>
      </c>
      <c r="K252">
        <v>1166.56</v>
      </c>
      <c r="L252">
        <v>0</v>
      </c>
      <c r="M252">
        <v>0</v>
      </c>
      <c r="N252">
        <v>0</v>
      </c>
      <c r="O252">
        <v>0</v>
      </c>
      <c r="P252" s="5">
        <f>DATE(YEAR(gusto_payroll_bc[[#This Row],[Pay_Date]]),MONTH(gusto_payroll_bc[[#This Row],[Pay_Date]]),1)</f>
        <v>45139</v>
      </c>
      <c r="Q252">
        <f t="shared" si="3"/>
        <v>1356.46</v>
      </c>
    </row>
    <row r="253" spans="1:17" x14ac:dyDescent="0.3">
      <c r="A253">
        <v>5</v>
      </c>
      <c r="B253" t="s">
        <v>1129</v>
      </c>
      <c r="C253" t="s">
        <v>1130</v>
      </c>
      <c r="D253" s="1">
        <v>45170</v>
      </c>
      <c r="E253">
        <v>1348.31</v>
      </c>
      <c r="F253">
        <v>134.83000000000001</v>
      </c>
      <c r="G253">
        <v>53.93</v>
      </c>
      <c r="H253">
        <v>0</v>
      </c>
      <c r="I253">
        <v>0</v>
      </c>
      <c r="J253">
        <v>0</v>
      </c>
      <c r="K253">
        <v>1159.55</v>
      </c>
      <c r="L253">
        <v>0</v>
      </c>
      <c r="M253">
        <v>0</v>
      </c>
      <c r="N253">
        <v>0</v>
      </c>
      <c r="O253">
        <v>0</v>
      </c>
      <c r="P253" s="5">
        <f>DATE(YEAR(gusto_payroll_bc[[#This Row],[Pay_Date]]),MONTH(gusto_payroll_bc[[#This Row],[Pay_Date]]),1)</f>
        <v>45170</v>
      </c>
      <c r="Q253">
        <f t="shared" si="3"/>
        <v>1348.31</v>
      </c>
    </row>
    <row r="254" spans="1:17" x14ac:dyDescent="0.3">
      <c r="A254">
        <v>5</v>
      </c>
      <c r="B254" t="s">
        <v>1129</v>
      </c>
      <c r="C254" t="s">
        <v>1130</v>
      </c>
      <c r="D254" s="1">
        <v>45184</v>
      </c>
      <c r="E254">
        <v>1312.89</v>
      </c>
      <c r="F254">
        <v>131.29</v>
      </c>
      <c r="G254">
        <v>52.52</v>
      </c>
      <c r="H254">
        <v>0</v>
      </c>
      <c r="I254">
        <v>0</v>
      </c>
      <c r="J254">
        <v>0</v>
      </c>
      <c r="K254">
        <v>1129.0899999999999</v>
      </c>
      <c r="L254">
        <v>0</v>
      </c>
      <c r="M254">
        <v>0</v>
      </c>
      <c r="N254">
        <v>0</v>
      </c>
      <c r="O254">
        <v>0</v>
      </c>
      <c r="P254" s="5">
        <f>DATE(YEAR(gusto_payroll_bc[[#This Row],[Pay_Date]]),MONTH(gusto_payroll_bc[[#This Row],[Pay_Date]]),1)</f>
        <v>45170</v>
      </c>
      <c r="Q254">
        <f t="shared" si="3"/>
        <v>1312.89</v>
      </c>
    </row>
    <row r="255" spans="1:17" x14ac:dyDescent="0.3">
      <c r="A255">
        <v>5</v>
      </c>
      <c r="B255" t="s">
        <v>1129</v>
      </c>
      <c r="C255" t="s">
        <v>1130</v>
      </c>
      <c r="D255" s="1">
        <v>45198</v>
      </c>
      <c r="E255">
        <v>1430.18</v>
      </c>
      <c r="F255">
        <v>143.02000000000001</v>
      </c>
      <c r="G255">
        <v>57.21</v>
      </c>
      <c r="H255">
        <v>0</v>
      </c>
      <c r="I255">
        <v>0</v>
      </c>
      <c r="J255">
        <v>0</v>
      </c>
      <c r="K255">
        <v>1229.96</v>
      </c>
      <c r="L255">
        <v>0</v>
      </c>
      <c r="M255">
        <v>0</v>
      </c>
      <c r="N255">
        <v>0</v>
      </c>
      <c r="O255">
        <v>0</v>
      </c>
      <c r="P255" s="5">
        <f>DATE(YEAR(gusto_payroll_bc[[#This Row],[Pay_Date]]),MONTH(gusto_payroll_bc[[#This Row],[Pay_Date]]),1)</f>
        <v>45170</v>
      </c>
      <c r="Q255">
        <f t="shared" si="3"/>
        <v>1430.18</v>
      </c>
    </row>
    <row r="256" spans="1:17" x14ac:dyDescent="0.3">
      <c r="A256">
        <v>5</v>
      </c>
      <c r="B256" t="s">
        <v>1129</v>
      </c>
      <c r="C256" t="s">
        <v>1130</v>
      </c>
      <c r="D256" s="1">
        <v>45212</v>
      </c>
      <c r="E256">
        <v>1409.35</v>
      </c>
      <c r="F256">
        <v>140.93</v>
      </c>
      <c r="G256">
        <v>56.37</v>
      </c>
      <c r="H256">
        <v>0</v>
      </c>
      <c r="I256">
        <v>0</v>
      </c>
      <c r="J256">
        <v>0</v>
      </c>
      <c r="K256">
        <v>1212.04</v>
      </c>
      <c r="L256">
        <v>0</v>
      </c>
      <c r="M256">
        <v>0</v>
      </c>
      <c r="N256">
        <v>0</v>
      </c>
      <c r="O256">
        <v>0</v>
      </c>
      <c r="P256" s="5">
        <f>DATE(YEAR(gusto_payroll_bc[[#This Row],[Pay_Date]]),MONTH(gusto_payroll_bc[[#This Row],[Pay_Date]]),1)</f>
        <v>45200</v>
      </c>
      <c r="Q256">
        <f t="shared" si="3"/>
        <v>1409.35</v>
      </c>
    </row>
    <row r="257" spans="1:17" x14ac:dyDescent="0.3">
      <c r="A257">
        <v>5</v>
      </c>
      <c r="B257" t="s">
        <v>1129</v>
      </c>
      <c r="C257" t="s">
        <v>1130</v>
      </c>
      <c r="D257" s="1">
        <v>45226</v>
      </c>
      <c r="E257">
        <v>1381.85</v>
      </c>
      <c r="F257">
        <v>138.19</v>
      </c>
      <c r="G257">
        <v>55.27</v>
      </c>
      <c r="H257">
        <v>0</v>
      </c>
      <c r="I257">
        <v>0</v>
      </c>
      <c r="J257">
        <v>0</v>
      </c>
      <c r="K257">
        <v>1188.4000000000001</v>
      </c>
      <c r="L257">
        <v>0</v>
      </c>
      <c r="M257">
        <v>0</v>
      </c>
      <c r="N257">
        <v>0</v>
      </c>
      <c r="O257">
        <v>0</v>
      </c>
      <c r="P257" s="5">
        <f>DATE(YEAR(gusto_payroll_bc[[#This Row],[Pay_Date]]),MONTH(gusto_payroll_bc[[#This Row],[Pay_Date]]),1)</f>
        <v>45200</v>
      </c>
      <c r="Q257">
        <f t="shared" si="3"/>
        <v>1381.85</v>
      </c>
    </row>
    <row r="258" spans="1:17" x14ac:dyDescent="0.3">
      <c r="A258">
        <v>5</v>
      </c>
      <c r="B258" t="s">
        <v>1129</v>
      </c>
      <c r="C258" t="s">
        <v>1130</v>
      </c>
      <c r="D258" s="1">
        <v>45240</v>
      </c>
      <c r="E258">
        <v>1362.12</v>
      </c>
      <c r="F258">
        <v>136.21</v>
      </c>
      <c r="G258">
        <v>54.48</v>
      </c>
      <c r="H258">
        <v>0</v>
      </c>
      <c r="I258">
        <v>0</v>
      </c>
      <c r="J258">
        <v>0</v>
      </c>
      <c r="K258">
        <v>1171.43</v>
      </c>
      <c r="L258">
        <v>0</v>
      </c>
      <c r="M258">
        <v>0</v>
      </c>
      <c r="N258">
        <v>0</v>
      </c>
      <c r="O258">
        <v>0</v>
      </c>
      <c r="P258" s="5">
        <f>DATE(YEAR(gusto_payroll_bc[[#This Row],[Pay_Date]]),MONTH(gusto_payroll_bc[[#This Row],[Pay_Date]]),1)</f>
        <v>45231</v>
      </c>
      <c r="Q258">
        <f t="shared" ref="Q258:Q267" si="4">SUM(E258,H258,I258)</f>
        <v>1362.12</v>
      </c>
    </row>
    <row r="259" spans="1:17" x14ac:dyDescent="0.3">
      <c r="A259">
        <v>5</v>
      </c>
      <c r="B259" t="s">
        <v>1129</v>
      </c>
      <c r="C259" t="s">
        <v>1130</v>
      </c>
      <c r="D259" s="1">
        <v>45254</v>
      </c>
      <c r="E259">
        <v>1358.66</v>
      </c>
      <c r="F259">
        <v>135.87</v>
      </c>
      <c r="G259">
        <v>54.35</v>
      </c>
      <c r="H259">
        <v>0</v>
      </c>
      <c r="I259">
        <v>0</v>
      </c>
      <c r="J259">
        <v>0</v>
      </c>
      <c r="K259">
        <v>1168.45</v>
      </c>
      <c r="L259">
        <v>0</v>
      </c>
      <c r="M259">
        <v>0</v>
      </c>
      <c r="N259">
        <v>0</v>
      </c>
      <c r="O259">
        <v>0</v>
      </c>
      <c r="P259" s="5">
        <f>DATE(YEAR(gusto_payroll_bc[[#This Row],[Pay_Date]]),MONTH(gusto_payroll_bc[[#This Row],[Pay_Date]]),1)</f>
        <v>45231</v>
      </c>
      <c r="Q259">
        <f t="shared" si="4"/>
        <v>1358.66</v>
      </c>
    </row>
    <row r="260" spans="1:17" x14ac:dyDescent="0.3">
      <c r="A260">
        <v>5</v>
      </c>
      <c r="B260" t="s">
        <v>1129</v>
      </c>
      <c r="C260" t="s">
        <v>1130</v>
      </c>
      <c r="D260" s="1">
        <v>45268</v>
      </c>
      <c r="E260">
        <v>1357</v>
      </c>
      <c r="F260">
        <v>135.69999999999999</v>
      </c>
      <c r="G260">
        <v>54.28</v>
      </c>
      <c r="H260">
        <v>0</v>
      </c>
      <c r="I260">
        <v>0</v>
      </c>
      <c r="J260">
        <v>0</v>
      </c>
      <c r="K260">
        <v>1167.02</v>
      </c>
      <c r="L260">
        <v>0</v>
      </c>
      <c r="M260">
        <v>0</v>
      </c>
      <c r="N260">
        <v>0</v>
      </c>
      <c r="O260">
        <v>0</v>
      </c>
      <c r="P260" s="5">
        <f>DATE(YEAR(gusto_payroll_bc[[#This Row],[Pay_Date]]),MONTH(gusto_payroll_bc[[#This Row],[Pay_Date]]),1)</f>
        <v>45261</v>
      </c>
      <c r="Q260">
        <f t="shared" si="4"/>
        <v>1357</v>
      </c>
    </row>
    <row r="261" spans="1:17" x14ac:dyDescent="0.3">
      <c r="A261">
        <v>5</v>
      </c>
      <c r="B261" t="s">
        <v>1129</v>
      </c>
      <c r="C261" t="s">
        <v>1130</v>
      </c>
      <c r="D261" s="1">
        <v>45282</v>
      </c>
      <c r="E261">
        <v>1488.99</v>
      </c>
      <c r="F261">
        <v>148.9</v>
      </c>
      <c r="G261">
        <v>59.56</v>
      </c>
      <c r="H261">
        <v>0</v>
      </c>
      <c r="I261">
        <v>0</v>
      </c>
      <c r="J261">
        <v>0</v>
      </c>
      <c r="K261">
        <v>1280.53</v>
      </c>
      <c r="L261">
        <v>0</v>
      </c>
      <c r="M261">
        <v>0</v>
      </c>
      <c r="N261">
        <v>0</v>
      </c>
      <c r="O261">
        <v>0</v>
      </c>
      <c r="P261" s="5">
        <f>DATE(YEAR(gusto_payroll_bc[[#This Row],[Pay_Date]]),MONTH(gusto_payroll_bc[[#This Row],[Pay_Date]]),1)</f>
        <v>45261</v>
      </c>
      <c r="Q261">
        <f t="shared" si="4"/>
        <v>1488.99</v>
      </c>
    </row>
    <row r="262" spans="1:17" x14ac:dyDescent="0.3">
      <c r="A262">
        <v>6</v>
      </c>
      <c r="B262" t="s">
        <v>1131</v>
      </c>
      <c r="C262" t="s">
        <v>1132</v>
      </c>
      <c r="D262" s="1">
        <v>44722</v>
      </c>
      <c r="E262">
        <v>1247.1500000000001</v>
      </c>
      <c r="F262">
        <v>149.66</v>
      </c>
      <c r="G262">
        <v>62.36</v>
      </c>
      <c r="H262">
        <v>74.209999999999994</v>
      </c>
      <c r="I262">
        <v>20.329999999999998</v>
      </c>
      <c r="J262">
        <v>0</v>
      </c>
      <c r="K262">
        <v>940.6</v>
      </c>
      <c r="L262">
        <v>74.209999999999994</v>
      </c>
      <c r="M262">
        <v>28.46</v>
      </c>
      <c r="N262">
        <v>179.52</v>
      </c>
      <c r="O262">
        <v>0</v>
      </c>
      <c r="P262" s="5">
        <f>DATE(YEAR(gusto_payroll_bc[[#This Row],[Pay_Date]]),MONTH(gusto_payroll_bc[[#This Row],[Pay_Date]]),1)</f>
        <v>44713</v>
      </c>
      <c r="Q262">
        <f t="shared" si="4"/>
        <v>1341.69</v>
      </c>
    </row>
    <row r="263" spans="1:17" x14ac:dyDescent="0.3">
      <c r="A263">
        <v>6</v>
      </c>
      <c r="B263" t="s">
        <v>1131</v>
      </c>
      <c r="C263" t="s">
        <v>1132</v>
      </c>
      <c r="D263" s="1">
        <v>44736</v>
      </c>
      <c r="E263">
        <v>1269.0999999999999</v>
      </c>
      <c r="F263">
        <v>152.29</v>
      </c>
      <c r="G263">
        <v>63.46</v>
      </c>
      <c r="H263">
        <v>75.510000000000005</v>
      </c>
      <c r="I263">
        <v>20.69</v>
      </c>
      <c r="J263">
        <v>0</v>
      </c>
      <c r="K263">
        <v>957.16</v>
      </c>
      <c r="L263">
        <v>75.510000000000005</v>
      </c>
      <c r="M263">
        <v>28.96</v>
      </c>
      <c r="N263">
        <v>160.56</v>
      </c>
      <c r="O263">
        <v>0</v>
      </c>
      <c r="P263" s="5">
        <f>DATE(YEAR(gusto_payroll_bc[[#This Row],[Pay_Date]]),MONTH(gusto_payroll_bc[[#This Row],[Pay_Date]]),1)</f>
        <v>44713</v>
      </c>
      <c r="Q263">
        <f t="shared" si="4"/>
        <v>1365.3</v>
      </c>
    </row>
    <row r="264" spans="1:17" x14ac:dyDescent="0.3">
      <c r="A264">
        <v>6</v>
      </c>
      <c r="B264" t="s">
        <v>1131</v>
      </c>
      <c r="C264" t="s">
        <v>1132</v>
      </c>
      <c r="D264" s="1">
        <v>44750</v>
      </c>
      <c r="E264">
        <v>1276.56</v>
      </c>
      <c r="F264">
        <v>153.19</v>
      </c>
      <c r="G264">
        <v>63.83</v>
      </c>
      <c r="H264">
        <v>75.959999999999994</v>
      </c>
      <c r="I264">
        <v>20.81</v>
      </c>
      <c r="J264">
        <v>0</v>
      </c>
      <c r="K264">
        <v>962.78</v>
      </c>
      <c r="L264">
        <v>75.959999999999994</v>
      </c>
      <c r="M264">
        <v>29.13</v>
      </c>
      <c r="N264">
        <v>195.18</v>
      </c>
      <c r="O264">
        <v>0</v>
      </c>
      <c r="P264" s="5">
        <f>DATE(YEAR(gusto_payroll_bc[[#This Row],[Pay_Date]]),MONTH(gusto_payroll_bc[[#This Row],[Pay_Date]]),1)</f>
        <v>44743</v>
      </c>
      <c r="Q264">
        <f t="shared" si="4"/>
        <v>1373.33</v>
      </c>
    </row>
    <row r="265" spans="1:17" x14ac:dyDescent="0.3">
      <c r="A265">
        <v>6</v>
      </c>
      <c r="B265" t="s">
        <v>1131</v>
      </c>
      <c r="C265" t="s">
        <v>1132</v>
      </c>
      <c r="D265" s="1">
        <v>44764</v>
      </c>
      <c r="E265">
        <v>1145.99</v>
      </c>
      <c r="F265">
        <v>137.52000000000001</v>
      </c>
      <c r="G265">
        <v>57.3</v>
      </c>
      <c r="H265">
        <v>68.19</v>
      </c>
      <c r="I265">
        <v>18.68</v>
      </c>
      <c r="J265">
        <v>0</v>
      </c>
      <c r="K265">
        <v>864.31</v>
      </c>
      <c r="L265">
        <v>68.19</v>
      </c>
      <c r="M265">
        <v>26.15</v>
      </c>
      <c r="N265">
        <v>151.51</v>
      </c>
      <c r="O265">
        <v>0</v>
      </c>
      <c r="P265" s="5">
        <f>DATE(YEAR(gusto_payroll_bc[[#This Row],[Pay_Date]]),MONTH(gusto_payroll_bc[[#This Row],[Pay_Date]]),1)</f>
        <v>44743</v>
      </c>
      <c r="Q265">
        <f t="shared" si="4"/>
        <v>1232.8600000000001</v>
      </c>
    </row>
    <row r="266" spans="1:17" x14ac:dyDescent="0.3">
      <c r="A266">
        <v>6</v>
      </c>
      <c r="B266" t="s">
        <v>1131</v>
      </c>
      <c r="C266" t="s">
        <v>1132</v>
      </c>
      <c r="D266" s="1">
        <v>44778</v>
      </c>
      <c r="E266">
        <v>1123.23</v>
      </c>
      <c r="F266">
        <v>134.79</v>
      </c>
      <c r="G266">
        <v>56.16</v>
      </c>
      <c r="H266">
        <v>66.83</v>
      </c>
      <c r="I266">
        <v>18.309999999999999</v>
      </c>
      <c r="J266">
        <v>0</v>
      </c>
      <c r="K266">
        <v>847.14</v>
      </c>
      <c r="L266">
        <v>66.83</v>
      </c>
      <c r="M266">
        <v>25.63</v>
      </c>
      <c r="N266">
        <v>150.28</v>
      </c>
      <c r="O266">
        <v>0</v>
      </c>
      <c r="P266" s="5">
        <f>DATE(YEAR(gusto_payroll_bc[[#This Row],[Pay_Date]]),MONTH(gusto_payroll_bc[[#This Row],[Pay_Date]]),1)</f>
        <v>44774</v>
      </c>
      <c r="Q266">
        <f t="shared" si="4"/>
        <v>1208.3699999999999</v>
      </c>
    </row>
    <row r="267" spans="1:17" x14ac:dyDescent="0.3">
      <c r="A267">
        <v>6</v>
      </c>
      <c r="B267" t="s">
        <v>1131</v>
      </c>
      <c r="C267" t="s">
        <v>1132</v>
      </c>
      <c r="D267" s="1">
        <v>44792</v>
      </c>
      <c r="E267">
        <v>1141.72</v>
      </c>
      <c r="F267">
        <v>137.01</v>
      </c>
      <c r="G267">
        <v>57.09</v>
      </c>
      <c r="H267">
        <v>67.930000000000007</v>
      </c>
      <c r="I267">
        <v>18.61</v>
      </c>
      <c r="J267">
        <v>0</v>
      </c>
      <c r="K267">
        <v>861.08</v>
      </c>
      <c r="L267">
        <v>67.930000000000007</v>
      </c>
      <c r="M267">
        <v>26.05</v>
      </c>
      <c r="N267">
        <v>192.5</v>
      </c>
      <c r="O267">
        <v>0</v>
      </c>
      <c r="P267" s="5">
        <f>DATE(YEAR(gusto_payroll_bc[[#This Row],[Pay_Date]]),MONTH(gusto_payroll_bc[[#This Row],[Pay_Date]]),1)</f>
        <v>44774</v>
      </c>
      <c r="Q267">
        <f t="shared" si="4"/>
        <v>1228.26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564E-EC58-44F3-8ECE-613180A84F2D}">
  <dimension ref="A1:G26"/>
  <sheetViews>
    <sheetView zoomScale="145" zoomScaleNormal="145" workbookViewId="0">
      <selection activeCell="G2" sqref="G2"/>
    </sheetView>
  </sheetViews>
  <sheetFormatPr defaultRowHeight="14.4" x14ac:dyDescent="0.3"/>
  <cols>
    <col min="1" max="1" width="9.109375" style="5" bestFit="1" customWidth="1"/>
    <col min="2" max="2" width="14.44140625" style="2" customWidth="1"/>
    <col min="3" max="3" width="18" customWidth="1"/>
    <col min="4" max="4" width="10.5546875" bestFit="1" customWidth="1"/>
    <col min="5" max="5" width="11.5546875" bestFit="1" customWidth="1"/>
    <col min="6" max="6" width="19.33203125" style="2" customWidth="1"/>
    <col min="7" max="7" width="10.5546875" bestFit="1" customWidth="1"/>
    <col min="8" max="8" width="11" bestFit="1" customWidth="1"/>
  </cols>
  <sheetData>
    <row r="1" spans="1:7" x14ac:dyDescent="0.3">
      <c r="A1" s="5" t="s">
        <v>1135</v>
      </c>
      <c r="B1" s="2" t="s">
        <v>9</v>
      </c>
      <c r="C1" t="s">
        <v>16</v>
      </c>
      <c r="D1" t="s">
        <v>29</v>
      </c>
      <c r="E1" t="s">
        <v>900</v>
      </c>
      <c r="F1" s="2" t="s">
        <v>1146</v>
      </c>
      <c r="G1" t="s">
        <v>1147</v>
      </c>
    </row>
    <row r="2" spans="1:7" x14ac:dyDescent="0.3">
      <c r="A2" s="5">
        <v>44562</v>
      </c>
      <c r="B2" s="2">
        <f>SUMIFS(checking_account_main[Amount],
checking_account_main[Category],"Sales Revenue",
checking_account_main[Month_Year],A2)</f>
        <v>29463</v>
      </c>
      <c r="C2" s="2">
        <f>SUMIFS(checking_account_main[Amount],
checking_account_main[Category],"Operating Expense",
checking_account_main[Month_Year],A2)</f>
        <v>1959</v>
      </c>
      <c r="D2" s="2">
        <f>SUMIFS(checking_account_main[Amount],
checking_account_main[Category],"COGS",
checking_account_main[Month_Year],A2)</f>
        <v>1526</v>
      </c>
      <c r="E2" s="2">
        <f>SUMIFS(gusto_payroll_bc[Total_Employer_Cost],gusto_payroll_bc[Month_Year],A2)</f>
        <v>15926.31</v>
      </c>
      <c r="F2" s="2">
        <f>SUMIFS(credit_card_account[amount],credit_card_account[type], "Debit", credit_card_account[Month_Year], A2)</f>
        <v>2066</v>
      </c>
      <c r="G2" s="2">
        <f>B2-SUM(C2:F2)</f>
        <v>7985.6900000000023</v>
      </c>
    </row>
    <row r="3" spans="1:7" x14ac:dyDescent="0.3">
      <c r="A3" s="5">
        <v>44593</v>
      </c>
      <c r="B3" s="2">
        <f>SUMIFS(checking_account_main[Amount],
checking_account_main[Category],"Sales Revenue",
checking_account_main[Month_Year],A3)</f>
        <v>26196</v>
      </c>
      <c r="C3" s="2">
        <f>SUMIFS(checking_account_main[Amount],
checking_account_main[Category],"Operating Expense",
checking_account_main[Month_Year],A3)</f>
        <v>878</v>
      </c>
      <c r="D3" s="2">
        <f>SUMIFS(checking_account_main[Amount],
checking_account_main[Category],"COGS",
checking_account_main[Month_Year],A3)</f>
        <v>756</v>
      </c>
      <c r="E3" s="2">
        <f>SUMIFS(gusto_payroll_bc[Total_Employer_Cost],gusto_payroll_bc[Month_Year],A3)</f>
        <v>15758.59</v>
      </c>
      <c r="F3" s="2">
        <f>SUMIFS(credit_card_account[amount],credit_card_account[type], "Debit", credit_card_account[Month_Year], A3)</f>
        <v>1154</v>
      </c>
      <c r="G3" s="2">
        <f t="shared" ref="G3:G25" si="0">B3-SUM(C3:F3)</f>
        <v>7649.41</v>
      </c>
    </row>
    <row r="4" spans="1:7" x14ac:dyDescent="0.3">
      <c r="A4" s="5">
        <v>44621</v>
      </c>
      <c r="B4" s="2">
        <f>SUMIFS(checking_account_main[Amount],
checking_account_main[Category],"Sales Revenue",
checking_account_main[Month_Year],A4)</f>
        <v>18894</v>
      </c>
      <c r="C4" s="2">
        <f>SUMIFS(checking_account_main[Amount],
checking_account_main[Category],"Operating Expense",
checking_account_main[Month_Year],A4)</f>
        <v>1312</v>
      </c>
      <c r="D4" s="2">
        <f>SUMIFS(checking_account_main[Amount],
checking_account_main[Category],"COGS",
checking_account_main[Month_Year],A4)</f>
        <v>323</v>
      </c>
      <c r="E4" s="2">
        <f>SUMIFS(gusto_payroll_bc[Total_Employer_Cost],gusto_payroll_bc[Month_Year],A4)</f>
        <v>15940.3</v>
      </c>
      <c r="F4" s="2">
        <f>SUMIFS(credit_card_account[amount],credit_card_account[type], "Debit", credit_card_account[Month_Year], A4)</f>
        <v>1088</v>
      </c>
      <c r="G4" s="2">
        <f t="shared" si="0"/>
        <v>230.70000000000073</v>
      </c>
    </row>
    <row r="5" spans="1:7" x14ac:dyDescent="0.3">
      <c r="A5" s="5">
        <v>44652</v>
      </c>
      <c r="B5" s="2">
        <f>SUMIFS(checking_account_main[Amount],
checking_account_main[Category],"Sales Revenue",
checking_account_main[Month_Year],A5)</f>
        <v>18012</v>
      </c>
      <c r="C5" s="2">
        <f>SUMIFS(checking_account_main[Amount],
checking_account_main[Category],"Operating Expense",
checking_account_main[Month_Year],A5)</f>
        <v>442</v>
      </c>
      <c r="D5" s="2">
        <f>SUMIFS(checking_account_main[Amount],
checking_account_main[Category],"COGS",
checking_account_main[Month_Year],A5)</f>
        <v>842</v>
      </c>
      <c r="E5" s="2">
        <f>SUMIFS(gusto_payroll_bc[Total_Employer_Cost],gusto_payroll_bc[Month_Year],A5)</f>
        <v>23844.49</v>
      </c>
      <c r="F5" s="2">
        <f>SUMIFS(credit_card_account[amount],credit_card_account[type], "Debit", credit_card_account[Month_Year], A5)</f>
        <v>1383</v>
      </c>
      <c r="G5" s="2">
        <f t="shared" si="0"/>
        <v>-8499.4900000000016</v>
      </c>
    </row>
    <row r="6" spans="1:7" x14ac:dyDescent="0.3">
      <c r="A6" s="5">
        <v>44682</v>
      </c>
      <c r="B6" s="2">
        <f>SUMIFS(checking_account_main[Amount],
checking_account_main[Category],"Sales Revenue",
checking_account_main[Month_Year],A6)</f>
        <v>18550</v>
      </c>
      <c r="C6" s="2">
        <f>SUMIFS(checking_account_main[Amount],
checking_account_main[Category],"Operating Expense",
checking_account_main[Month_Year],A6)</f>
        <v>499</v>
      </c>
      <c r="D6" s="2">
        <f>SUMIFS(checking_account_main[Amount],
checking_account_main[Category],"COGS",
checking_account_main[Month_Year],A6)</f>
        <v>638</v>
      </c>
      <c r="E6" s="2">
        <f>SUMIFS(gusto_payroll_bc[Total_Employer_Cost],gusto_payroll_bc[Month_Year],A6)</f>
        <v>15784.79</v>
      </c>
      <c r="F6" s="2">
        <f>SUMIFS(credit_card_account[amount],credit_card_account[type], "Debit", credit_card_account[Month_Year], A6)</f>
        <v>1650</v>
      </c>
      <c r="G6" s="2">
        <f t="shared" si="0"/>
        <v>-21.790000000000873</v>
      </c>
    </row>
    <row r="7" spans="1:7" x14ac:dyDescent="0.3">
      <c r="A7" s="5">
        <v>44713</v>
      </c>
      <c r="B7" s="2">
        <f>SUMIFS(checking_account_main[Amount],
checking_account_main[Category],"Sales Revenue",
checking_account_main[Month_Year],A7)</f>
        <v>17820</v>
      </c>
      <c r="C7" s="2">
        <f>SUMIFS(checking_account_main[Amount],
checking_account_main[Category],"Operating Expense",
checking_account_main[Month_Year],A7)</f>
        <v>2006</v>
      </c>
      <c r="D7" s="2">
        <f>SUMIFS(checking_account_main[Amount],
checking_account_main[Category],"COGS",
checking_account_main[Month_Year],A7)</f>
        <v>817</v>
      </c>
      <c r="E7" s="2">
        <f>SUMIFS(gusto_payroll_bc[Total_Employer_Cost],gusto_payroll_bc[Month_Year],A7)</f>
        <v>18421.379999999997</v>
      </c>
      <c r="F7" s="2">
        <f>SUMIFS(credit_card_account[amount],credit_card_account[type], "Debit", credit_card_account[Month_Year], A7)</f>
        <v>1487</v>
      </c>
      <c r="G7" s="2">
        <f t="shared" si="0"/>
        <v>-4911.3799999999974</v>
      </c>
    </row>
    <row r="8" spans="1:7" x14ac:dyDescent="0.3">
      <c r="A8" s="5">
        <v>44743</v>
      </c>
      <c r="B8" s="2">
        <f>SUMIFS(checking_account_main[Amount],
checking_account_main[Category],"Sales Revenue",
checking_account_main[Month_Year],A8)</f>
        <v>23232</v>
      </c>
      <c r="C8" s="2">
        <f>SUMIFS(checking_account_main[Amount],
checking_account_main[Category],"Operating Expense",
checking_account_main[Month_Year],A8)</f>
        <v>1061</v>
      </c>
      <c r="D8" s="2">
        <f>SUMIFS(checking_account_main[Amount],
checking_account_main[Category],"COGS",
checking_account_main[Month_Year],A8)</f>
        <v>718</v>
      </c>
      <c r="E8" s="2">
        <f>SUMIFS(gusto_payroll_bc[Total_Employer_Cost],gusto_payroll_bc[Month_Year],A8)</f>
        <v>18429.54</v>
      </c>
      <c r="F8" s="2">
        <f>SUMIFS(credit_card_account[amount],credit_card_account[type], "Debit", credit_card_account[Month_Year], A8)</f>
        <v>1627</v>
      </c>
      <c r="G8" s="2">
        <f t="shared" si="0"/>
        <v>1396.4599999999991</v>
      </c>
    </row>
    <row r="9" spans="1:7" x14ac:dyDescent="0.3">
      <c r="A9" s="5">
        <v>44774</v>
      </c>
      <c r="B9" s="2">
        <f>SUMIFS(checking_account_main[Amount],
checking_account_main[Category],"Sales Revenue",
checking_account_main[Month_Year],A9)</f>
        <v>22841</v>
      </c>
      <c r="C9" s="2">
        <f>SUMIFS(checking_account_main[Amount],
checking_account_main[Category],"Operating Expense",
checking_account_main[Month_Year],A9)</f>
        <v>958</v>
      </c>
      <c r="D9" s="2">
        <f>SUMIFS(checking_account_main[Amount],
checking_account_main[Category],"COGS",
checking_account_main[Month_Year],A9)</f>
        <v>1577</v>
      </c>
      <c r="E9" s="2">
        <f>SUMIFS(gusto_payroll_bc[Total_Employer_Cost],gusto_payroll_bc[Month_Year],A9)</f>
        <v>18487.329999999998</v>
      </c>
      <c r="F9" s="2">
        <f>SUMIFS(credit_card_account[amount],credit_card_account[type], "Debit", credit_card_account[Month_Year], A9)</f>
        <v>1329</v>
      </c>
      <c r="G9" s="2">
        <f t="shared" si="0"/>
        <v>489.67000000000189</v>
      </c>
    </row>
    <row r="10" spans="1:7" x14ac:dyDescent="0.3">
      <c r="A10" s="5">
        <v>44805</v>
      </c>
      <c r="B10" s="2">
        <f>SUMIFS(checking_account_main[Amount],
checking_account_main[Category],"Sales Revenue",
checking_account_main[Month_Year],A10)</f>
        <v>29391</v>
      </c>
      <c r="C10" s="2">
        <f>SUMIFS(checking_account_main[Amount],
checking_account_main[Category],"Operating Expense",
checking_account_main[Month_Year],A10)</f>
        <v>850</v>
      </c>
      <c r="D10" s="2">
        <f>SUMIFS(checking_account_main[Amount],
checking_account_main[Category],"COGS",
checking_account_main[Month_Year],A10)</f>
        <v>409</v>
      </c>
      <c r="E10" s="2">
        <f>SUMIFS(gusto_payroll_bc[Total_Employer_Cost],gusto_payroll_bc[Month_Year],A10)</f>
        <v>23633.729999999996</v>
      </c>
      <c r="F10" s="2">
        <f>SUMIFS(credit_card_account[amount],credit_card_account[type], "Debit", credit_card_account[Month_Year], A10)</f>
        <v>1686</v>
      </c>
      <c r="G10" s="2">
        <f t="shared" si="0"/>
        <v>2812.2700000000041</v>
      </c>
    </row>
    <row r="11" spans="1:7" x14ac:dyDescent="0.3">
      <c r="A11" s="5">
        <v>44835</v>
      </c>
      <c r="B11" s="2">
        <f>SUMIFS(checking_account_main[Amount],
checking_account_main[Category],"Sales Revenue",
checking_account_main[Month_Year],A11)</f>
        <v>30424</v>
      </c>
      <c r="C11" s="2">
        <f>SUMIFS(checking_account_main[Amount],
checking_account_main[Category],"Operating Expense",
checking_account_main[Month_Year],A11)</f>
        <v>1016</v>
      </c>
      <c r="D11" s="2">
        <f>SUMIFS(checking_account_main[Amount],
checking_account_main[Category],"COGS",
checking_account_main[Month_Year],A11)</f>
        <v>218</v>
      </c>
      <c r="E11" s="2">
        <f>SUMIFS(gusto_payroll_bc[Total_Employer_Cost],gusto_payroll_bc[Month_Year],A11)</f>
        <v>15634.64</v>
      </c>
      <c r="F11" s="2">
        <f>SUMIFS(credit_card_account[amount],credit_card_account[type], "Debit", credit_card_account[Month_Year], A11)</f>
        <v>1617</v>
      </c>
      <c r="G11" s="2">
        <f t="shared" si="0"/>
        <v>11938.36</v>
      </c>
    </row>
    <row r="12" spans="1:7" x14ac:dyDescent="0.3">
      <c r="A12" s="5">
        <v>44866</v>
      </c>
      <c r="B12" s="2">
        <f>SUMIFS(checking_account_main[Amount],
checking_account_main[Category],"Sales Revenue",
checking_account_main[Month_Year],A12)</f>
        <v>28391</v>
      </c>
      <c r="C12" s="2">
        <f>SUMIFS(checking_account_main[Amount],
checking_account_main[Category],"Operating Expense",
checking_account_main[Month_Year],A12)</f>
        <v>1351</v>
      </c>
      <c r="D12" s="2">
        <f>SUMIFS(checking_account_main[Amount],
checking_account_main[Category],"COGS",
checking_account_main[Month_Year],A12)</f>
        <v>1018</v>
      </c>
      <c r="E12" s="2">
        <f>SUMIFS(gusto_payroll_bc[Total_Employer_Cost],gusto_payroll_bc[Month_Year],A12)</f>
        <v>15870.859999999997</v>
      </c>
      <c r="F12" s="2">
        <f>SUMIFS(credit_card_account[amount],credit_card_account[type], "Debit", credit_card_account[Month_Year], A12)</f>
        <v>1383</v>
      </c>
      <c r="G12" s="2">
        <f t="shared" si="0"/>
        <v>8768.1400000000031</v>
      </c>
    </row>
    <row r="13" spans="1:7" x14ac:dyDescent="0.3">
      <c r="A13" s="5">
        <v>44896</v>
      </c>
      <c r="B13" s="2">
        <f>SUMIFS(checking_account_main[Amount],
checking_account_main[Category],"Sales Revenue",
checking_account_main[Month_Year],A13)</f>
        <v>28351</v>
      </c>
      <c r="C13" s="2">
        <f>SUMIFS(checking_account_main[Amount],
checking_account_main[Category],"Operating Expense",
checking_account_main[Month_Year],A13)</f>
        <v>1496</v>
      </c>
      <c r="D13" s="2">
        <f>SUMIFS(checking_account_main[Amount],
checking_account_main[Category],"COGS",
checking_account_main[Month_Year],A13)</f>
        <v>372</v>
      </c>
      <c r="E13" s="2">
        <f>SUMIFS(gusto_payroll_bc[Total_Employer_Cost],gusto_payroll_bc[Month_Year],A13)</f>
        <v>15897.710000000001</v>
      </c>
      <c r="F13" s="2">
        <f>SUMIFS(credit_card_account[amount],credit_card_account[type], "Debit", credit_card_account[Month_Year], A13)</f>
        <v>1213</v>
      </c>
      <c r="G13" s="2">
        <f t="shared" si="0"/>
        <v>9372.2900000000009</v>
      </c>
    </row>
    <row r="14" spans="1:7" x14ac:dyDescent="0.3">
      <c r="A14" s="5">
        <v>44927</v>
      </c>
      <c r="B14" s="2">
        <f>SUMIFS(checking_account_main[Amount],
checking_account_main[Category],"Sales Revenue",
checking_account_main[Month_Year],A14)</f>
        <v>30248</v>
      </c>
      <c r="C14" s="2">
        <f>SUMIFS(checking_account_main[Amount],
checking_account_main[Category],"Operating Expense",
checking_account_main[Month_Year],A14)</f>
        <v>2406</v>
      </c>
      <c r="D14" s="2">
        <f>SUMIFS(checking_account_main[Amount],
checking_account_main[Category],"COGS",
checking_account_main[Month_Year],A14)</f>
        <v>119</v>
      </c>
      <c r="E14" s="2">
        <f>SUMIFS(gusto_payroll_bc[Total_Employer_Cost],gusto_payroll_bc[Month_Year],A14)</f>
        <v>16019.97</v>
      </c>
      <c r="F14" s="2">
        <f>SUMIFS(credit_card_account[amount],credit_card_account[type], "Debit", credit_card_account[Month_Year], A14)</f>
        <v>1312</v>
      </c>
      <c r="G14" s="2">
        <f t="shared" si="0"/>
        <v>10391.029999999999</v>
      </c>
    </row>
    <row r="15" spans="1:7" x14ac:dyDescent="0.3">
      <c r="A15" s="5">
        <v>44958</v>
      </c>
      <c r="B15" s="2">
        <f>SUMIFS(checking_account_main[Amount],
checking_account_main[Category],"Sales Revenue",
checking_account_main[Month_Year],A15)</f>
        <v>25404</v>
      </c>
      <c r="C15" s="2">
        <f>SUMIFS(checking_account_main[Amount],
checking_account_main[Category],"Operating Expense",
checking_account_main[Month_Year],A15)</f>
        <v>757</v>
      </c>
      <c r="D15" s="2">
        <f>SUMIFS(checking_account_main[Amount],
checking_account_main[Category],"COGS",
checking_account_main[Month_Year],A15)</f>
        <v>185</v>
      </c>
      <c r="E15" s="2">
        <f>SUMIFS(gusto_payroll_bc[Total_Employer_Cost],gusto_payroll_bc[Month_Year],A15)</f>
        <v>15548.800000000001</v>
      </c>
      <c r="F15" s="2">
        <f>SUMIFS(credit_card_account[amount],credit_card_account[type], "Debit", credit_card_account[Month_Year], A15)</f>
        <v>1536</v>
      </c>
      <c r="G15" s="2">
        <f t="shared" si="0"/>
        <v>7377.1999999999971</v>
      </c>
    </row>
    <row r="16" spans="1:7" x14ac:dyDescent="0.3">
      <c r="A16" s="5">
        <v>44986</v>
      </c>
      <c r="B16" s="2">
        <f>SUMIFS(checking_account_main[Amount],
checking_account_main[Category],"Sales Revenue",
checking_account_main[Month_Year],A16)</f>
        <v>19541</v>
      </c>
      <c r="C16" s="2">
        <f>SUMIFS(checking_account_main[Amount],
checking_account_main[Category],"Operating Expense",
checking_account_main[Month_Year],A16)</f>
        <v>1510</v>
      </c>
      <c r="D16" s="2">
        <f>SUMIFS(checking_account_main[Amount],
checking_account_main[Category],"COGS",
checking_account_main[Month_Year],A16)</f>
        <v>0</v>
      </c>
      <c r="E16" s="2">
        <f>SUMIFS(gusto_payroll_bc[Total_Employer_Cost],gusto_payroll_bc[Month_Year],A16)</f>
        <v>23873.269999999997</v>
      </c>
      <c r="F16" s="2">
        <f>SUMIFS(credit_card_account[amount],credit_card_account[type], "Debit", credit_card_account[Month_Year], A16)</f>
        <v>1448</v>
      </c>
      <c r="G16" s="2">
        <f t="shared" si="0"/>
        <v>-7290.2699999999968</v>
      </c>
    </row>
    <row r="17" spans="1:7" x14ac:dyDescent="0.3">
      <c r="A17" s="5">
        <v>45017</v>
      </c>
      <c r="B17" s="2">
        <f>SUMIFS(checking_account_main[Amount],
checking_account_main[Category],"Sales Revenue",
checking_account_main[Month_Year],A17)</f>
        <v>18920</v>
      </c>
      <c r="C17" s="2">
        <f>SUMIFS(checking_account_main[Amount],
checking_account_main[Category],"Operating Expense",
checking_account_main[Month_Year],A17)</f>
        <v>526</v>
      </c>
      <c r="D17" s="2">
        <f>SUMIFS(checking_account_main[Amount],
checking_account_main[Category],"COGS",
checking_account_main[Month_Year],A17)</f>
        <v>938</v>
      </c>
      <c r="E17" s="2">
        <f>SUMIFS(gusto_payroll_bc[Total_Employer_Cost],gusto_payroll_bc[Month_Year],A17)</f>
        <v>15574.619999999999</v>
      </c>
      <c r="F17" s="2">
        <f>SUMIFS(credit_card_account[amount],credit_card_account[type], "Debit", credit_card_account[Month_Year], A17)</f>
        <v>1229</v>
      </c>
      <c r="G17" s="2">
        <f t="shared" si="0"/>
        <v>652.38000000000102</v>
      </c>
    </row>
    <row r="18" spans="1:7" x14ac:dyDescent="0.3">
      <c r="A18" s="5">
        <v>45047</v>
      </c>
      <c r="B18" s="2">
        <f>SUMIFS(checking_account_main[Amount],
checking_account_main[Category],"Sales Revenue",
checking_account_main[Month_Year],A18)</f>
        <v>18462</v>
      </c>
      <c r="C18" s="2">
        <f>SUMIFS(checking_account_main[Amount],
checking_account_main[Category],"Operating Expense",
checking_account_main[Month_Year],A18)</f>
        <v>263</v>
      </c>
      <c r="D18" s="2">
        <f>SUMIFS(checking_account_main[Amount],
checking_account_main[Category],"COGS",
checking_account_main[Month_Year],A18)</f>
        <v>581</v>
      </c>
      <c r="E18" s="2">
        <f>SUMIFS(gusto_payroll_bc[Total_Employer_Cost],gusto_payroll_bc[Month_Year],A18)</f>
        <v>15777.510000000002</v>
      </c>
      <c r="F18" s="2">
        <f>SUMIFS(credit_card_account[amount],credit_card_account[type], "Debit", credit_card_account[Month_Year], A18)</f>
        <v>1733</v>
      </c>
      <c r="G18" s="2">
        <f t="shared" si="0"/>
        <v>107.48999999999796</v>
      </c>
    </row>
    <row r="19" spans="1:7" x14ac:dyDescent="0.3">
      <c r="A19" s="5">
        <v>45078</v>
      </c>
      <c r="B19" s="2">
        <f>SUMIFS(checking_account_main[Amount],
checking_account_main[Category],"Sales Revenue",
checking_account_main[Month_Year],A19)</f>
        <v>17932</v>
      </c>
      <c r="C19" s="2">
        <f>SUMIFS(checking_account_main[Amount],
checking_account_main[Category],"Operating Expense",
checking_account_main[Month_Year],A19)</f>
        <v>575</v>
      </c>
      <c r="D19" s="2">
        <f>SUMIFS(checking_account_main[Amount],
checking_account_main[Category],"COGS",
checking_account_main[Month_Year],A19)</f>
        <v>1315</v>
      </c>
      <c r="E19" s="2">
        <f>SUMIFS(gusto_payroll_bc[Total_Employer_Cost],gusto_payroll_bc[Month_Year],A19)</f>
        <v>15957.310000000001</v>
      </c>
      <c r="F19" s="2">
        <f>SUMIFS(credit_card_account[amount],credit_card_account[type], "Debit", credit_card_account[Month_Year], A19)</f>
        <v>1161</v>
      </c>
      <c r="G19" s="2">
        <f t="shared" si="0"/>
        <v>-1076.3100000000013</v>
      </c>
    </row>
    <row r="20" spans="1:7" x14ac:dyDescent="0.3">
      <c r="A20" s="5">
        <v>45108</v>
      </c>
      <c r="B20" s="2">
        <f>SUMIFS(checking_account_main[Amount],
checking_account_main[Category],"Sales Revenue",
checking_account_main[Month_Year],A20)</f>
        <v>23166</v>
      </c>
      <c r="C20" s="2">
        <f>SUMIFS(checking_account_main[Amount],
checking_account_main[Category],"Operating Expense",
checking_account_main[Month_Year],A20)</f>
        <v>801</v>
      </c>
      <c r="D20" s="2">
        <f>SUMIFS(checking_account_main[Amount],
checking_account_main[Category],"COGS",
checking_account_main[Month_Year],A20)</f>
        <v>890</v>
      </c>
      <c r="E20" s="2">
        <f>SUMIFS(gusto_payroll_bc[Total_Employer_Cost],gusto_payroll_bc[Month_Year],A20)</f>
        <v>16292.189999999999</v>
      </c>
      <c r="F20" s="2">
        <f>SUMIFS(credit_card_account[amount],credit_card_account[type], "Debit", credit_card_account[Month_Year], A20)</f>
        <v>1902</v>
      </c>
      <c r="G20" s="2">
        <f t="shared" si="0"/>
        <v>3280.8100000000013</v>
      </c>
    </row>
    <row r="21" spans="1:7" x14ac:dyDescent="0.3">
      <c r="A21" s="5">
        <v>45139</v>
      </c>
      <c r="B21" s="2">
        <f>SUMIFS(checking_account_main[Amount],
checking_account_main[Category],"Sales Revenue",
checking_account_main[Month_Year],A21)</f>
        <v>23650</v>
      </c>
      <c r="C21" s="2">
        <f>SUMIFS(checking_account_main[Amount],
checking_account_main[Category],"Operating Expense",
checking_account_main[Month_Year],A21)</f>
        <v>292</v>
      </c>
      <c r="D21" s="2">
        <f>SUMIFS(checking_account_main[Amount],
checking_account_main[Category],"COGS",
checking_account_main[Month_Year],A21)</f>
        <v>981</v>
      </c>
      <c r="E21" s="2">
        <f>SUMIFS(gusto_payroll_bc[Total_Employer_Cost],gusto_payroll_bc[Month_Year],A21)</f>
        <v>15653.580000000002</v>
      </c>
      <c r="F21" s="2">
        <f>SUMIFS(credit_card_account[amount],credit_card_account[type], "Debit", credit_card_account[Month_Year], A21)</f>
        <v>1354</v>
      </c>
      <c r="G21" s="2">
        <f t="shared" si="0"/>
        <v>5369.4199999999983</v>
      </c>
    </row>
    <row r="22" spans="1:7" x14ac:dyDescent="0.3">
      <c r="A22" s="5">
        <v>45170</v>
      </c>
      <c r="B22" s="2">
        <f>SUMIFS(checking_account_main[Amount],
checking_account_main[Category],"Sales Revenue",
checking_account_main[Month_Year],A22)</f>
        <v>26576</v>
      </c>
      <c r="C22" s="2">
        <f>SUMIFS(checking_account_main[Amount],
checking_account_main[Category],"Operating Expense",
checking_account_main[Month_Year],A22)</f>
        <v>1838</v>
      </c>
      <c r="D22" s="2">
        <f>SUMIFS(checking_account_main[Amount],
checking_account_main[Category],"COGS",
checking_account_main[Month_Year],A22)</f>
        <v>0</v>
      </c>
      <c r="E22" s="2">
        <f>SUMIFS(gusto_payroll_bc[Total_Employer_Cost],gusto_payroll_bc[Month_Year],A22)</f>
        <v>23533.860000000004</v>
      </c>
      <c r="F22" s="2">
        <f>SUMIFS(credit_card_account[amount],credit_card_account[type], "Debit", credit_card_account[Month_Year], A22)</f>
        <v>1984</v>
      </c>
      <c r="G22" s="2">
        <f t="shared" si="0"/>
        <v>-779.86000000000422</v>
      </c>
    </row>
    <row r="23" spans="1:7" x14ac:dyDescent="0.3">
      <c r="A23" s="5">
        <v>45200</v>
      </c>
      <c r="B23" s="2">
        <f>SUMIFS(checking_account_main[Amount],
checking_account_main[Category],"Sales Revenue",
checking_account_main[Month_Year],A23)</f>
        <v>29226</v>
      </c>
      <c r="C23" s="2">
        <f>SUMIFS(checking_account_main[Amount],
checking_account_main[Category],"Operating Expense",
checking_account_main[Month_Year],A23)</f>
        <v>918</v>
      </c>
      <c r="D23" s="2">
        <f>SUMIFS(checking_account_main[Amount],
checking_account_main[Category],"COGS",
checking_account_main[Month_Year],A23)</f>
        <v>667</v>
      </c>
      <c r="E23" s="2">
        <f>SUMIFS(gusto_payroll_bc[Total_Employer_Cost],gusto_payroll_bc[Month_Year],A23)</f>
        <v>16175.35</v>
      </c>
      <c r="F23" s="2">
        <f>SUMIFS(credit_card_account[amount],credit_card_account[type], "Debit", credit_card_account[Month_Year], A23)</f>
        <v>1732</v>
      </c>
      <c r="G23" s="2">
        <f t="shared" si="0"/>
        <v>9733.6500000000015</v>
      </c>
    </row>
    <row r="24" spans="1:7" x14ac:dyDescent="0.3">
      <c r="A24" s="5">
        <v>45231</v>
      </c>
      <c r="B24" s="2">
        <f>SUMIFS(checking_account_main[Amount],
checking_account_main[Category],"Sales Revenue",
checking_account_main[Month_Year],A24)</f>
        <v>29072</v>
      </c>
      <c r="C24" s="2">
        <f>SUMIFS(checking_account_main[Amount],
checking_account_main[Category],"Operating Expense",
checking_account_main[Month_Year],A24)</f>
        <v>1243</v>
      </c>
      <c r="D24" s="2">
        <f>SUMIFS(checking_account_main[Amount],
checking_account_main[Category],"COGS",
checking_account_main[Month_Year],A24)</f>
        <v>969</v>
      </c>
      <c r="E24" s="2">
        <f>SUMIFS(gusto_payroll_bc[Total_Employer_Cost],gusto_payroll_bc[Month_Year],A24)</f>
        <v>15912.619999999999</v>
      </c>
      <c r="F24" s="2">
        <f>SUMIFS(credit_card_account[amount],credit_card_account[type], "Debit", credit_card_account[Month_Year], A24)</f>
        <v>1637</v>
      </c>
      <c r="G24" s="2">
        <f t="shared" si="0"/>
        <v>9310.380000000001</v>
      </c>
    </row>
    <row r="25" spans="1:7" x14ac:dyDescent="0.3">
      <c r="A25" s="5">
        <v>45261</v>
      </c>
      <c r="B25" s="2">
        <f>SUMIFS(checking_account_main[Amount],
checking_account_main[Category],"Sales Revenue",
checking_account_main[Month_Year],A25)</f>
        <v>29045</v>
      </c>
      <c r="C25" s="2">
        <f>SUMIFS(checking_account_main[Amount],
checking_account_main[Category],"Operating Expense",
checking_account_main[Month_Year],A25)</f>
        <v>1251</v>
      </c>
      <c r="D25" s="2">
        <f>SUMIFS(checking_account_main[Amount],
checking_account_main[Category],"COGS",
checking_account_main[Month_Year],A25)</f>
        <v>1132</v>
      </c>
      <c r="E25" s="2">
        <f>SUMIFS(gusto_payroll_bc[Total_Employer_Cost],gusto_payroll_bc[Month_Year],A25)</f>
        <v>16018.359999999999</v>
      </c>
      <c r="F25" s="2">
        <f>SUMIFS(credit_card_account[amount],credit_card_account[type], "Debit", credit_card_account[Month_Year], A25)</f>
        <v>2086</v>
      </c>
      <c r="G25" s="2">
        <f t="shared" si="0"/>
        <v>8557.64</v>
      </c>
    </row>
    <row r="26" spans="1:7" x14ac:dyDescent="0.3">
      <c r="B26" s="2">
        <f>SUM(B2:B25)</f>
        <v>582807</v>
      </c>
      <c r="C26" s="2">
        <f t="shared" ref="C26:G26" si="1">SUM(C2:C25)</f>
        <v>26208</v>
      </c>
      <c r="D26" s="2">
        <f t="shared" si="1"/>
        <v>16991</v>
      </c>
      <c r="E26" s="2">
        <f t="shared" si="1"/>
        <v>419967.11</v>
      </c>
      <c r="F26" s="2">
        <f t="shared" si="1"/>
        <v>36797</v>
      </c>
      <c r="G26" s="2">
        <f t="shared" si="1"/>
        <v>82843.89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FC7B-2190-4B0B-8B8D-6746716799D8}">
  <dimension ref="E1:Z25"/>
  <sheetViews>
    <sheetView showGridLines="0" tabSelected="1" zoomScale="85" zoomScaleNormal="85" workbookViewId="0">
      <selection activeCell="S11" sqref="S11"/>
    </sheetView>
  </sheetViews>
  <sheetFormatPr defaultRowHeight="14.4" x14ac:dyDescent="0.3"/>
  <cols>
    <col min="6" max="6" width="17.44140625" customWidth="1"/>
    <col min="7" max="7" width="14.21875" customWidth="1"/>
    <col min="9" max="9" width="12.77734375" bestFit="1" customWidth="1"/>
    <col min="12" max="12" width="14.44140625" bestFit="1" customWidth="1"/>
    <col min="15" max="15" width="28.5546875" bestFit="1" customWidth="1"/>
    <col min="18" max="18" width="17.6640625" customWidth="1"/>
    <col min="19" max="19" width="18.21875" bestFit="1" customWidth="1"/>
    <col min="20" max="20" width="14.5546875" bestFit="1" customWidth="1"/>
    <col min="21" max="21" width="11.109375" bestFit="1" customWidth="1"/>
    <col min="22" max="22" width="10.77734375" customWidth="1"/>
    <col min="24" max="24" width="18.21875" bestFit="1" customWidth="1"/>
    <col min="25" max="26" width="11.109375" bestFit="1" customWidth="1"/>
  </cols>
  <sheetData>
    <row r="1" spans="5:26" x14ac:dyDescent="0.3">
      <c r="U1" t="s">
        <v>1135</v>
      </c>
      <c r="V1" t="s">
        <v>1147</v>
      </c>
    </row>
    <row r="2" spans="5:26" ht="23.4" x14ac:dyDescent="0.45">
      <c r="F2" s="16" t="s">
        <v>1157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U2" s="5">
        <f>Table6[[#This Row],[Month]]</f>
        <v>44562</v>
      </c>
      <c r="V2" s="2">
        <f>Table6[[#This Row],[Net Profit]]</f>
        <v>7985.6900000000023</v>
      </c>
    </row>
    <row r="3" spans="5:26" ht="23.4" x14ac:dyDescent="0.45">
      <c r="F3" s="19" t="s">
        <v>1158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/>
      <c r="U3" s="5">
        <f>Table6[[#This Row],[Month]]</f>
        <v>44593</v>
      </c>
      <c r="V3" s="2">
        <f>Table6[[#This Row],[Net Profit]]</f>
        <v>7649.41</v>
      </c>
      <c r="X3" t="s">
        <v>1160</v>
      </c>
      <c r="Y3" t="s">
        <v>1149</v>
      </c>
      <c r="Z3" t="s">
        <v>1150</v>
      </c>
    </row>
    <row r="4" spans="5:26" ht="18.600000000000001" customHeight="1" x14ac:dyDescent="0.3">
      <c r="E4" s="9"/>
      <c r="F4" s="13" t="s">
        <v>1153</v>
      </c>
      <c r="G4" s="14"/>
      <c r="H4" s="14"/>
      <c r="I4" s="13" t="s">
        <v>1154</v>
      </c>
      <c r="J4" s="14"/>
      <c r="K4" s="14"/>
      <c r="L4" s="15"/>
      <c r="M4" s="13" t="s">
        <v>1155</v>
      </c>
      <c r="N4" s="14"/>
      <c r="O4" s="14"/>
      <c r="P4" s="13" t="s">
        <v>1156</v>
      </c>
      <c r="Q4" s="14"/>
      <c r="R4" s="15"/>
      <c r="S4" s="12"/>
      <c r="U4" s="5">
        <f>Table6[[#This Row],[Month]]</f>
        <v>44621</v>
      </c>
      <c r="V4" s="2">
        <f>Table6[[#This Row],[Net Profit]]</f>
        <v>230.70000000000073</v>
      </c>
      <c r="X4" t="s">
        <v>29</v>
      </c>
      <c r="Y4" s="2">
        <f>SUMIFS(Table6[COGS],Table6[Month], "&gt;="&amp;DATE(2022,1,1), Table6[Month],"&lt;"&amp;DATE(2023,1,1))</f>
        <v>9214</v>
      </c>
      <c r="Z4" s="7">
        <f>SUMIFS(Table6[COGS],Table6[Month], "&gt;="&amp;DATE(2023,1,1), Table6[Month],"&lt;"&amp;DATE(2024,1,1))</f>
        <v>7777</v>
      </c>
    </row>
    <row r="5" spans="5:26" ht="18" customHeight="1" x14ac:dyDescent="0.3">
      <c r="E5" s="10"/>
      <c r="F5" s="22">
        <f>SUM(Table6[Sales Revenue])</f>
        <v>582807</v>
      </c>
      <c r="G5" s="23"/>
      <c r="H5" s="23"/>
      <c r="I5" s="22">
        <f>SUM(Table6[Net Profit])</f>
        <v>82843.89</v>
      </c>
      <c r="J5" s="23"/>
      <c r="K5" s="23"/>
      <c r="L5" s="24"/>
      <c r="M5" s="25">
        <f>I5/F5</f>
        <v>0.14214635376719909</v>
      </c>
      <c r="N5" s="26"/>
      <c r="O5" s="27"/>
      <c r="P5" s="22">
        <f>AVERAGE(Table6[Sales Revenue])</f>
        <v>24283.625</v>
      </c>
      <c r="Q5" s="23"/>
      <c r="R5" s="24"/>
      <c r="S5" s="12"/>
      <c r="U5" s="5">
        <f>Table6[[#This Row],[Month]]</f>
        <v>44652</v>
      </c>
      <c r="V5" s="2">
        <f>Table6[[#This Row],[Net Profit]]</f>
        <v>-8499.4900000000016</v>
      </c>
      <c r="X5" t="s">
        <v>1161</v>
      </c>
      <c r="Y5" s="2">
        <f>SUMIFS(Table6[Operating Expense],Table6[Month], "&gt;="&amp;DATE(2022,1,1), Table6[Month],"&lt;"&amp;DATE(2023,1,1))</f>
        <v>13828</v>
      </c>
      <c r="Z5" s="8">
        <f>SUMIFS(Table6[Operating Expense],Table6[Month], "&gt;="&amp;DATE(2023,1,1), Table6[Month],"&lt;"&amp;DATE(2024,1,1))</f>
        <v>12380</v>
      </c>
    </row>
    <row r="6" spans="5:26" ht="18.600000000000001" customHeight="1" x14ac:dyDescent="0.3">
      <c r="F6" s="22"/>
      <c r="G6" s="23"/>
      <c r="H6" s="23"/>
      <c r="I6" s="28"/>
      <c r="J6" s="29"/>
      <c r="K6" s="29"/>
      <c r="L6" s="30"/>
      <c r="M6" s="31"/>
      <c r="N6" s="32"/>
      <c r="O6" s="33"/>
      <c r="P6" s="28"/>
      <c r="Q6" s="29"/>
      <c r="R6" s="30"/>
      <c r="S6" s="12"/>
      <c r="U6" s="5">
        <f>Table6[[#This Row],[Month]]</f>
        <v>44682</v>
      </c>
      <c r="V6" s="2">
        <f>Table6[[#This Row],[Net Profit]]</f>
        <v>-21.790000000000873</v>
      </c>
      <c r="X6" t="s">
        <v>900</v>
      </c>
      <c r="Y6" s="2">
        <f>SUMIFS(Table6[Payroll],Table6[Month], "&gt;="&amp;DATE(2022,1,1), Table6[Month],"&lt;"&amp;DATE(2023,1,1))</f>
        <v>213629.67</v>
      </c>
      <c r="Z6" s="8">
        <f>SUMIFS(Table6[Payroll],Table6[Month], "&gt;="&amp;DATE(2023,1,1), Table6[Month],"&lt;"&amp;DATE(2024,1,1))</f>
        <v>206337.44</v>
      </c>
    </row>
    <row r="7" spans="5:26" x14ac:dyDescent="0.3">
      <c r="F7" s="11"/>
      <c r="G7" s="11"/>
      <c r="H7" s="11"/>
      <c r="I7" s="10"/>
      <c r="N7" s="10"/>
      <c r="U7" s="5">
        <f>Table6[[#This Row],[Month]]</f>
        <v>44713</v>
      </c>
      <c r="V7" s="2">
        <f>Table6[[#This Row],[Net Profit]]</f>
        <v>-4911.3799999999974</v>
      </c>
      <c r="X7" t="s">
        <v>1162</v>
      </c>
      <c r="Y7" s="2">
        <f>SUMIFS(Table6[Credit Card Expense],Table6[Month], "&gt;="&amp;DATE(2022,1,1), Table6[Month],"&lt;"&amp;DATE(2023,1,1))</f>
        <v>17683</v>
      </c>
      <c r="Z7" s="34">
        <f>SUMIFS(Table6[Credit Card Expense],Table6[Month], "&gt;="&amp;DATE(2023,1,1), Table6[Month],"&lt;"&amp;DATE(2024,1,1))</f>
        <v>19114</v>
      </c>
    </row>
    <row r="8" spans="5:26" x14ac:dyDescent="0.3">
      <c r="U8" s="5">
        <f>Table6[[#This Row],[Month]]</f>
        <v>44743</v>
      </c>
      <c r="V8" s="2">
        <f>Table6[[#This Row],[Net Profit]]</f>
        <v>1396.4599999999991</v>
      </c>
    </row>
    <row r="9" spans="5:26" x14ac:dyDescent="0.3">
      <c r="U9" s="5">
        <f>Table6[[#This Row],[Month]]</f>
        <v>44774</v>
      </c>
      <c r="V9" s="2">
        <f>Table6[[#This Row],[Net Profit]]</f>
        <v>489.67000000000189</v>
      </c>
    </row>
    <row r="10" spans="5:26" x14ac:dyDescent="0.3">
      <c r="U10" s="5">
        <f>Table6[[#This Row],[Month]]</f>
        <v>44805</v>
      </c>
      <c r="V10" s="2">
        <f>Table6[[#This Row],[Net Profit]]</f>
        <v>2812.2700000000041</v>
      </c>
    </row>
    <row r="11" spans="5:26" x14ac:dyDescent="0.3">
      <c r="U11" s="5">
        <f>Table6[[#This Row],[Month]]</f>
        <v>44835</v>
      </c>
      <c r="V11" s="2">
        <f>Table6[[#This Row],[Net Profit]]</f>
        <v>11938.36</v>
      </c>
    </row>
    <row r="12" spans="5:26" x14ac:dyDescent="0.3">
      <c r="U12" s="5">
        <f>Table6[[#This Row],[Month]]</f>
        <v>44866</v>
      </c>
      <c r="V12" s="2">
        <f>Table6[[#This Row],[Net Profit]]</f>
        <v>8768.1400000000031</v>
      </c>
    </row>
    <row r="13" spans="5:26" x14ac:dyDescent="0.3">
      <c r="U13" s="5">
        <f>Table6[[#This Row],[Month]]</f>
        <v>44896</v>
      </c>
      <c r="V13" s="2">
        <f>Table6[[#This Row],[Net Profit]]</f>
        <v>9372.2900000000009</v>
      </c>
    </row>
    <row r="14" spans="5:26" x14ac:dyDescent="0.3">
      <c r="U14" s="5">
        <f>Table6[[#This Row],[Month]]</f>
        <v>44927</v>
      </c>
      <c r="V14" s="2">
        <f>Table6[[#This Row],[Net Profit]]</f>
        <v>10391.029999999999</v>
      </c>
    </row>
    <row r="15" spans="5:26" x14ac:dyDescent="0.3">
      <c r="U15" s="5">
        <f>Table6[[#This Row],[Month]]</f>
        <v>44958</v>
      </c>
      <c r="V15" s="2">
        <f>Table6[[#This Row],[Net Profit]]</f>
        <v>7377.1999999999971</v>
      </c>
    </row>
    <row r="16" spans="5:26" x14ac:dyDescent="0.3">
      <c r="U16" s="5">
        <f>Table6[[#This Row],[Month]]</f>
        <v>44986</v>
      </c>
      <c r="V16" s="2">
        <f>Table6[[#This Row],[Net Profit]]</f>
        <v>-7290.2699999999968</v>
      </c>
    </row>
    <row r="17" spans="21:22" x14ac:dyDescent="0.3">
      <c r="U17" s="5">
        <f>Table6[[#This Row],[Month]]</f>
        <v>45017</v>
      </c>
      <c r="V17" s="2">
        <f>Table6[[#This Row],[Net Profit]]</f>
        <v>652.38000000000102</v>
      </c>
    </row>
    <row r="18" spans="21:22" x14ac:dyDescent="0.3">
      <c r="U18" s="5">
        <f>Table6[[#This Row],[Month]]</f>
        <v>45047</v>
      </c>
      <c r="V18" s="2">
        <f>Table6[[#This Row],[Net Profit]]</f>
        <v>107.48999999999796</v>
      </c>
    </row>
    <row r="19" spans="21:22" x14ac:dyDescent="0.3">
      <c r="U19" s="5">
        <f>Table6[[#This Row],[Month]]</f>
        <v>45078</v>
      </c>
      <c r="V19" s="2">
        <f>Table6[[#This Row],[Net Profit]]</f>
        <v>-1076.3100000000013</v>
      </c>
    </row>
    <row r="20" spans="21:22" x14ac:dyDescent="0.3">
      <c r="U20" s="5">
        <f>Table6[[#This Row],[Month]]</f>
        <v>45108</v>
      </c>
      <c r="V20" s="2">
        <f>Table6[[#This Row],[Net Profit]]</f>
        <v>3280.8100000000013</v>
      </c>
    </row>
    <row r="21" spans="21:22" x14ac:dyDescent="0.3">
      <c r="U21" s="5">
        <f>Table6[[#This Row],[Month]]</f>
        <v>45139</v>
      </c>
      <c r="V21" s="2">
        <f>Table6[[#This Row],[Net Profit]]</f>
        <v>5369.4199999999983</v>
      </c>
    </row>
    <row r="22" spans="21:22" x14ac:dyDescent="0.3">
      <c r="U22" s="5">
        <f>Table6[[#This Row],[Month]]</f>
        <v>45170</v>
      </c>
      <c r="V22" s="2">
        <f>Table6[[#This Row],[Net Profit]]</f>
        <v>-779.86000000000422</v>
      </c>
    </row>
    <row r="23" spans="21:22" x14ac:dyDescent="0.3">
      <c r="U23" s="5">
        <f>Table6[[#This Row],[Month]]</f>
        <v>45200</v>
      </c>
      <c r="V23" s="2">
        <f>Table6[[#This Row],[Net Profit]]</f>
        <v>9733.6500000000015</v>
      </c>
    </row>
    <row r="24" spans="21:22" x14ac:dyDescent="0.3">
      <c r="U24" s="5">
        <f>Table6[[#This Row],[Month]]</f>
        <v>45231</v>
      </c>
      <c r="V24" s="2">
        <f>Table6[[#This Row],[Net Profit]]</f>
        <v>9310.380000000001</v>
      </c>
    </row>
    <row r="25" spans="21:22" x14ac:dyDescent="0.3">
      <c r="U25" s="5">
        <f>Table6[[#This Row],[Month]]</f>
        <v>45261</v>
      </c>
      <c r="V25" s="2">
        <f>Table6[[#This Row],[Net Profit]]</f>
        <v>8557.64</v>
      </c>
    </row>
  </sheetData>
  <mergeCells count="10">
    <mergeCell ref="F2:R2"/>
    <mergeCell ref="F3:R3"/>
    <mergeCell ref="F5:H6"/>
    <mergeCell ref="I4:L4"/>
    <mergeCell ref="I5:L6"/>
    <mergeCell ref="M4:O4"/>
    <mergeCell ref="M5:O6"/>
    <mergeCell ref="P4:R4"/>
    <mergeCell ref="P5:R6"/>
    <mergeCell ref="F4:H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0843-A3BD-447D-9DDC-DF12ADFB1E9F}">
  <dimension ref="A3:B28"/>
  <sheetViews>
    <sheetView workbookViewId="0">
      <selection activeCell="J2" sqref="J2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4" t="s">
        <v>1144</v>
      </c>
      <c r="B3" t="s">
        <v>1159</v>
      </c>
    </row>
    <row r="4" spans="1:2" x14ac:dyDescent="0.3">
      <c r="A4" s="6">
        <v>44562</v>
      </c>
      <c r="B4" s="2">
        <v>29463</v>
      </c>
    </row>
    <row r="5" spans="1:2" x14ac:dyDescent="0.3">
      <c r="A5" s="6">
        <v>44593</v>
      </c>
      <c r="B5" s="2">
        <v>26196</v>
      </c>
    </row>
    <row r="6" spans="1:2" x14ac:dyDescent="0.3">
      <c r="A6" s="6">
        <v>44621</v>
      </c>
      <c r="B6" s="2">
        <v>18894</v>
      </c>
    </row>
    <row r="7" spans="1:2" x14ac:dyDescent="0.3">
      <c r="A7" s="6">
        <v>44652</v>
      </c>
      <c r="B7" s="2">
        <v>18012</v>
      </c>
    </row>
    <row r="8" spans="1:2" x14ac:dyDescent="0.3">
      <c r="A8" s="6">
        <v>44682</v>
      </c>
      <c r="B8" s="2">
        <v>18550</v>
      </c>
    </row>
    <row r="9" spans="1:2" x14ac:dyDescent="0.3">
      <c r="A9" s="6">
        <v>44713</v>
      </c>
      <c r="B9" s="2">
        <v>17820</v>
      </c>
    </row>
    <row r="10" spans="1:2" x14ac:dyDescent="0.3">
      <c r="A10" s="6">
        <v>44743</v>
      </c>
      <c r="B10" s="2">
        <v>23232</v>
      </c>
    </row>
    <row r="11" spans="1:2" x14ac:dyDescent="0.3">
      <c r="A11" s="6">
        <v>44774</v>
      </c>
      <c r="B11" s="2">
        <v>22841</v>
      </c>
    </row>
    <row r="12" spans="1:2" x14ac:dyDescent="0.3">
      <c r="A12" s="6">
        <v>44805</v>
      </c>
      <c r="B12" s="2">
        <v>29391</v>
      </c>
    </row>
    <row r="13" spans="1:2" x14ac:dyDescent="0.3">
      <c r="A13" s="6">
        <v>44835</v>
      </c>
      <c r="B13" s="2">
        <v>30424</v>
      </c>
    </row>
    <row r="14" spans="1:2" x14ac:dyDescent="0.3">
      <c r="A14" s="6">
        <v>44866</v>
      </c>
      <c r="B14" s="2">
        <v>28391</v>
      </c>
    </row>
    <row r="15" spans="1:2" x14ac:dyDescent="0.3">
      <c r="A15" s="6">
        <v>44896</v>
      </c>
      <c r="B15" s="2">
        <v>28351</v>
      </c>
    </row>
    <row r="16" spans="1:2" x14ac:dyDescent="0.3">
      <c r="A16" s="6">
        <v>44927</v>
      </c>
      <c r="B16" s="2">
        <v>30248</v>
      </c>
    </row>
    <row r="17" spans="1:2" x14ac:dyDescent="0.3">
      <c r="A17" s="6">
        <v>44958</v>
      </c>
      <c r="B17" s="2">
        <v>25404</v>
      </c>
    </row>
    <row r="18" spans="1:2" x14ac:dyDescent="0.3">
      <c r="A18" s="6">
        <v>44986</v>
      </c>
      <c r="B18" s="2">
        <v>19541</v>
      </c>
    </row>
    <row r="19" spans="1:2" x14ac:dyDescent="0.3">
      <c r="A19" s="6">
        <v>45017</v>
      </c>
      <c r="B19" s="2">
        <v>18920</v>
      </c>
    </row>
    <row r="20" spans="1:2" x14ac:dyDescent="0.3">
      <c r="A20" s="6">
        <v>45047</v>
      </c>
      <c r="B20" s="2">
        <v>18462</v>
      </c>
    </row>
    <row r="21" spans="1:2" x14ac:dyDescent="0.3">
      <c r="A21" s="6">
        <v>45078</v>
      </c>
      <c r="B21" s="2">
        <v>17932</v>
      </c>
    </row>
    <row r="22" spans="1:2" x14ac:dyDescent="0.3">
      <c r="A22" s="6">
        <v>45108</v>
      </c>
      <c r="B22" s="2">
        <v>23166</v>
      </c>
    </row>
    <row r="23" spans="1:2" x14ac:dyDescent="0.3">
      <c r="A23" s="6">
        <v>45139</v>
      </c>
      <c r="B23" s="2">
        <v>23650</v>
      </c>
    </row>
    <row r="24" spans="1:2" x14ac:dyDescent="0.3">
      <c r="A24" s="6">
        <v>45170</v>
      </c>
      <c r="B24" s="2">
        <v>26576</v>
      </c>
    </row>
    <row r="25" spans="1:2" x14ac:dyDescent="0.3">
      <c r="A25" s="6">
        <v>45200</v>
      </c>
      <c r="B25" s="2">
        <v>29226</v>
      </c>
    </row>
    <row r="26" spans="1:2" x14ac:dyDescent="0.3">
      <c r="A26" s="6">
        <v>45231</v>
      </c>
      <c r="B26" s="2">
        <v>29072</v>
      </c>
    </row>
    <row r="27" spans="1:2" x14ac:dyDescent="0.3">
      <c r="A27" s="6">
        <v>45261</v>
      </c>
      <c r="B27" s="2">
        <v>29045</v>
      </c>
    </row>
    <row r="28" spans="1:2" x14ac:dyDescent="0.3">
      <c r="A28" s="6" t="s">
        <v>1145</v>
      </c>
      <c r="B28" s="2">
        <v>582807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2C1E5F-7708-4A84-B5AE-34D17D4BC9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Raw_Main_Bank</vt:lpstr>
      <vt:lpstr>Raw_Secondary_Bank</vt:lpstr>
      <vt:lpstr>Raw_Payroll</vt:lpstr>
      <vt:lpstr>Raw_Credit_Card</vt:lpstr>
      <vt:lpstr>Raw_Payroll_Detail</vt:lpstr>
      <vt:lpstr>Created_Monthly_Summary</vt:lpstr>
      <vt:lpstr>Executive Dashboard</vt:lpstr>
      <vt:lpstr>Exploratory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O</dc:creator>
  <cp:lastModifiedBy>Antonia O</cp:lastModifiedBy>
  <dcterms:created xsi:type="dcterms:W3CDTF">2026-07-25T03:02:37Z</dcterms:created>
  <dcterms:modified xsi:type="dcterms:W3CDTF">2026-07-25T23:46:07Z</dcterms:modified>
</cp:coreProperties>
</file>